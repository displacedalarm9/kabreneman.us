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xml" ContentType="application/vnd.openxmlformats-officedocument.drawing+xml"/>
  <Override PartName="/xl/tables/table19.xml" ContentType="application/vnd.openxmlformats-officedocument.spreadsheetml.table+xml"/>
  <Override PartName="/xl/charts/chart1.xml" ContentType="application/vnd.openxmlformats-officedocument.drawingml.chart+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8"/>
  <workbookPr codeName="ThisWorkbook"/>
  <mc:AlternateContent xmlns:mc="http://schemas.openxmlformats.org/markup-compatibility/2006">
    <mc:Choice Requires="x15">
      <x15ac:absPath xmlns:x15ac="http://schemas.microsoft.com/office/spreadsheetml/2010/11/ac" url="https://d.docs.live.net/27cea2a98eac0cdb/WORKCAP/"/>
    </mc:Choice>
  </mc:AlternateContent>
  <xr:revisionPtr revIDLastSave="347" documentId="8_{68AD9E7D-CFAE-41FC-AD94-1C4953375CC5}" xr6:coauthVersionLast="47" xr6:coauthVersionMax="47" xr10:uidLastSave="{8F7497C5-C5E9-44E5-BC0C-812C55732F32}"/>
  <bookViews>
    <workbookView xWindow="-120" yWindow="-120" windowWidth="20730" windowHeight="11040" firstSheet="24" activeTab="25" xr2:uid="{36B78C25-A7FC-4D88-8504-AEFE3A0D5E93}"/>
  </bookViews>
  <sheets>
    <sheet name="Sheet1 (3)" sheetId="27" r:id="rId1"/>
    <sheet name="MASTER INDEX" sheetId="28" r:id="rId2"/>
    <sheet name="Category Analysis" sheetId="5" r:id="rId3"/>
    <sheet name="Monthly Minimums" sheetId="19" r:id="rId4"/>
    <sheet name="Statement of Cash Flows, FY26" sheetId="4" r:id="rId5"/>
    <sheet name="Statement of Cash Flows" sheetId="18" r:id="rId6"/>
    <sheet name="Paycheck Allocation, Actual" sheetId="21" r:id="rId7"/>
    <sheet name="Paycheck Allocation, Budgeted" sheetId="1" r:id="rId8"/>
    <sheet name="Sheet1" sheetId="23" r:id="rId9"/>
    <sheet name="Paycheck Allocation, pro rata" sheetId="22" r:id="rId10"/>
    <sheet name="Obligation Adherence" sheetId="2" r:id="rId11"/>
    <sheet name="AP 102" sheetId="8" r:id="rId12"/>
    <sheet name="AP 103" sheetId="3" r:id="rId13"/>
    <sheet name="Credit Card Usage" sheetId="20" r:id="rId14"/>
    <sheet name="CR MCC" sheetId="9" r:id="rId15"/>
    <sheet name="CR VFB" sheetId="10" r:id="rId16"/>
    <sheet name="DP 001" sheetId="11" r:id="rId17"/>
    <sheet name="DP 002" sheetId="13" r:id="rId18"/>
    <sheet name="DP 003" sheetId="14" r:id="rId19"/>
    <sheet name="NP SLF" sheetId="12" r:id="rId20"/>
    <sheet name="NP EDU" sheetId="16" r:id="rId21"/>
    <sheet name="TP SIT" sheetId="15" r:id="rId22"/>
    <sheet name="Dashboard" sheetId="6" r:id="rId23"/>
    <sheet name="Sheet2" sheetId="24" r:id="rId24"/>
    <sheet name="Sheet3" sheetId="25" r:id="rId25"/>
    <sheet name="Sheet1 (2)" sheetId="26" r:id="rId26"/>
  </sheets>
  <definedNames>
    <definedName name="_xleta.CONCAT" hidden="1" xlm="1">#NAME?</definedName>
    <definedName name="_xleta.DATEVALUE" hidden="1" xlm="1">#NAME?</definedName>
    <definedName name="_xleta.IF" hidden="1" xlm="1">#NAME?</definedName>
    <definedName name="_xleta.MAX" hidden="1" xlm="1">#NAME?</definedName>
    <definedName name="_xleta.SUBTOTAL" hidden="1" xlm="1">#NAME?</definedName>
  </definedNames>
  <calcPr calcId="191028"/>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22" l="1"/>
  <c r="G23" i="22" s="1"/>
  <c r="F7" i="22"/>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G50" i="22" s="1"/>
  <c r="H50" i="22" s="1"/>
  <c r="B2" i="5" a="1"/>
  <c r="B2" i="5" s="1"/>
  <c r="B2" i="19" a="1"/>
  <c r="B2" i="19" s="1"/>
  <c r="B2" i="4" a="1"/>
  <c r="B2" i="4" s="1"/>
  <c r="B2" i="18" a="1"/>
  <c r="B2" i="18" s="1"/>
  <c r="B2" i="1" a="1"/>
  <c r="B2" i="1" s="1"/>
  <c r="B2" i="23" a="1"/>
  <c r="B2" i="23" s="1"/>
  <c r="B2" i="22" a="1"/>
  <c r="B2" i="22" s="1"/>
  <c r="B2" i="2" a="1"/>
  <c r="B2" i="2" s="1"/>
  <c r="B2" i="8" a="1"/>
  <c r="B2" i="8" s="1"/>
  <c r="D7" i="2" s="1"/>
  <c r="B2" i="3" a="1"/>
  <c r="B2" i="3" s="1"/>
  <c r="D8" i="2" s="1"/>
  <c r="B2" i="20" a="1"/>
  <c r="B2" i="20" s="1"/>
  <c r="B2" i="9" a="1"/>
  <c r="B2" i="9" s="1"/>
  <c r="D9" i="2" s="1"/>
  <c r="B2" i="10" a="1"/>
  <c r="B2" i="10" s="1"/>
  <c r="D10" i="2" s="1"/>
  <c r="B2" i="11" a="1"/>
  <c r="B2" i="11" s="1"/>
  <c r="D11" i="2" s="1"/>
  <c r="B2" i="13" a="1"/>
  <c r="B2" i="13" s="1"/>
  <c r="D12" i="2" s="1"/>
  <c r="B2" i="14" a="1"/>
  <c r="B2" i="14" s="1"/>
  <c r="D13" i="2" s="1"/>
  <c r="B2" i="12" a="1"/>
  <c r="B2" i="12" s="1"/>
  <c r="D14" i="2" s="1"/>
  <c r="B2" i="16" a="1"/>
  <c r="B2" i="16" s="1"/>
  <c r="B2" i="15" a="1"/>
  <c r="B2" i="15" s="1"/>
  <c r="D15" i="2" s="1"/>
  <c r="B2" i="6" a="1"/>
  <c r="B2" i="6" s="1"/>
  <c r="B2" i="24" a="1"/>
  <c r="B2" i="24" s="1"/>
  <c r="B2" i="25" a="1"/>
  <c r="B2" i="25" s="1"/>
  <c r="B2" i="21" a="1"/>
  <c r="B2" i="21" s="1"/>
  <c r="N7" i="1"/>
  <c r="D7" i="1"/>
  <c r="D23" i="1" s="1"/>
  <c r="C7" i="5" s="1"/>
  <c r="M8" i="1"/>
  <c r="M9" i="1"/>
  <c r="M10" i="1"/>
  <c r="M11" i="1"/>
  <c r="M12" i="1"/>
  <c r="M13" i="1"/>
  <c r="M14" i="1"/>
  <c r="M15" i="1"/>
  <c r="M16" i="1"/>
  <c r="M17" i="1"/>
  <c r="M18" i="1"/>
  <c r="M19" i="1"/>
  <c r="M20" i="1"/>
  <c r="M21" i="1"/>
  <c r="M22" i="1"/>
  <c r="M24" i="1"/>
  <c r="M25" i="1"/>
  <c r="M26" i="1"/>
  <c r="M27" i="1"/>
  <c r="M28" i="1"/>
  <c r="M29" i="1"/>
  <c r="M30" i="1"/>
  <c r="M31" i="1"/>
  <c r="M32" i="1"/>
  <c r="M33" i="1"/>
  <c r="M34" i="1"/>
  <c r="M35" i="1"/>
  <c r="M36" i="1"/>
  <c r="M37" i="1"/>
  <c r="M38" i="1"/>
  <c r="M39" i="1"/>
  <c r="M40" i="1"/>
  <c r="M41" i="1"/>
  <c r="M42" i="1"/>
  <c r="M43" i="1"/>
  <c r="M44" i="1"/>
  <c r="M45" i="1"/>
  <c r="M46" i="1"/>
  <c r="M47" i="1"/>
  <c r="M48" i="1"/>
  <c r="M49" i="1"/>
  <c r="C50" i="1"/>
  <c r="M50" i="1"/>
  <c r="L8" i="1"/>
  <c r="L9" i="1"/>
  <c r="L10" i="1"/>
  <c r="L11" i="1"/>
  <c r="L12" i="1"/>
  <c r="L13" i="1"/>
  <c r="L14" i="1"/>
  <c r="L15" i="1"/>
  <c r="L16" i="1"/>
  <c r="L17" i="1"/>
  <c r="L18" i="1"/>
  <c r="L19" i="1"/>
  <c r="L20" i="1"/>
  <c r="L21" i="1"/>
  <c r="L22" i="1"/>
  <c r="L24" i="1"/>
  <c r="L25" i="1"/>
  <c r="L26" i="1"/>
  <c r="L27" i="1"/>
  <c r="L28" i="1"/>
  <c r="L29" i="1"/>
  <c r="L30" i="1"/>
  <c r="L31" i="1"/>
  <c r="L32" i="1"/>
  <c r="L33" i="1"/>
  <c r="L34" i="1"/>
  <c r="L35" i="1"/>
  <c r="L36" i="1"/>
  <c r="L37" i="1"/>
  <c r="L38" i="1"/>
  <c r="L39" i="1"/>
  <c r="L40" i="1"/>
  <c r="L41" i="1"/>
  <c r="L42" i="1"/>
  <c r="L43" i="1"/>
  <c r="L44" i="1"/>
  <c r="L45" i="1"/>
  <c r="L46" i="1"/>
  <c r="L47" i="1"/>
  <c r="L48" i="1"/>
  <c r="L49" i="1"/>
  <c r="L50" i="1"/>
  <c r="I8" i="1"/>
  <c r="I9" i="1"/>
  <c r="I10" i="1"/>
  <c r="I11" i="1"/>
  <c r="I12" i="1"/>
  <c r="I13" i="1"/>
  <c r="I14" i="1"/>
  <c r="I15" i="1"/>
  <c r="I16" i="1"/>
  <c r="I17" i="1"/>
  <c r="I18" i="1"/>
  <c r="I19" i="1"/>
  <c r="I20" i="1"/>
  <c r="I21" i="1"/>
  <c r="I22" i="1"/>
  <c r="I24" i="1"/>
  <c r="I25" i="1"/>
  <c r="I26" i="1"/>
  <c r="I27" i="1"/>
  <c r="I28" i="1"/>
  <c r="I29" i="1"/>
  <c r="I30" i="1"/>
  <c r="I31" i="1"/>
  <c r="I32" i="1"/>
  <c r="I33" i="1"/>
  <c r="I34" i="1"/>
  <c r="I35" i="1"/>
  <c r="I36" i="1"/>
  <c r="I37" i="1"/>
  <c r="I38" i="1"/>
  <c r="I39" i="1"/>
  <c r="I40" i="1"/>
  <c r="I41" i="1"/>
  <c r="I42" i="1"/>
  <c r="I43" i="1"/>
  <c r="I44" i="1"/>
  <c r="I45" i="1"/>
  <c r="I46" i="1"/>
  <c r="I47" i="1"/>
  <c r="I48" i="1"/>
  <c r="I49" i="1"/>
  <c r="I50" i="1"/>
  <c r="E23" i="1"/>
  <c r="F23" i="1"/>
  <c r="G23" i="1"/>
  <c r="H23" i="1"/>
  <c r="J23" i="1"/>
  <c r="K23" i="1"/>
  <c r="C50" i="22"/>
  <c r="D50" i="22"/>
  <c r="E50" i="22"/>
  <c r="H49" i="22"/>
  <c r="G49" i="22"/>
  <c r="E49" i="22"/>
  <c r="D49" i="22"/>
  <c r="H48" i="22"/>
  <c r="G48" i="22"/>
  <c r="E48" i="22"/>
  <c r="D48" i="22"/>
  <c r="H47" i="22"/>
  <c r="G47" i="22"/>
  <c r="E47" i="22"/>
  <c r="D47" i="22"/>
  <c r="H46" i="22"/>
  <c r="G46" i="22"/>
  <c r="E46" i="22"/>
  <c r="D46" i="22"/>
  <c r="H45" i="22"/>
  <c r="G45" i="22"/>
  <c r="E45" i="22"/>
  <c r="D45" i="22"/>
  <c r="H44" i="22"/>
  <c r="G44" i="22"/>
  <c r="E44" i="22"/>
  <c r="D44" i="22"/>
  <c r="H43" i="22"/>
  <c r="G43" i="22"/>
  <c r="E43" i="22"/>
  <c r="D43" i="22"/>
  <c r="H42" i="22"/>
  <c r="G42" i="22"/>
  <c r="E42" i="22"/>
  <c r="D42" i="22"/>
  <c r="H41" i="22"/>
  <c r="G41" i="22"/>
  <c r="E41" i="22"/>
  <c r="D41" i="22"/>
  <c r="H40" i="22"/>
  <c r="G40" i="22"/>
  <c r="E40" i="22"/>
  <c r="D40" i="22"/>
  <c r="H39" i="22"/>
  <c r="G39" i="22"/>
  <c r="E39" i="22"/>
  <c r="D39" i="22"/>
  <c r="H38" i="22"/>
  <c r="G38" i="22"/>
  <c r="E38" i="22"/>
  <c r="D38" i="22"/>
  <c r="H37" i="22"/>
  <c r="G37" i="22"/>
  <c r="E37" i="22"/>
  <c r="D37" i="22"/>
  <c r="H36" i="22"/>
  <c r="G36" i="22"/>
  <c r="E36" i="22"/>
  <c r="D36" i="22"/>
  <c r="H35" i="22"/>
  <c r="G35" i="22"/>
  <c r="E35" i="22"/>
  <c r="D35" i="22"/>
  <c r="H34" i="22"/>
  <c r="G34" i="22"/>
  <c r="E34" i="22"/>
  <c r="D34" i="22"/>
  <c r="H33" i="22"/>
  <c r="G33" i="22"/>
  <c r="E33" i="22"/>
  <c r="D33" i="22"/>
  <c r="H32" i="22"/>
  <c r="G32" i="22"/>
  <c r="E32" i="22"/>
  <c r="D32" i="22"/>
  <c r="H31" i="22"/>
  <c r="G31" i="22"/>
  <c r="E31" i="22"/>
  <c r="D31" i="22"/>
  <c r="H30" i="22"/>
  <c r="G30" i="22"/>
  <c r="E30" i="22"/>
  <c r="D30" i="22"/>
  <c r="H29" i="22"/>
  <c r="G29" i="22"/>
  <c r="E29" i="22"/>
  <c r="D29" i="22"/>
  <c r="H28" i="22"/>
  <c r="G28" i="22"/>
  <c r="E28" i="22"/>
  <c r="D28" i="22"/>
  <c r="H27" i="22"/>
  <c r="G27" i="22"/>
  <c r="E27" i="22"/>
  <c r="D27" i="22"/>
  <c r="H26" i="22"/>
  <c r="G26" i="22"/>
  <c r="E26" i="22"/>
  <c r="D26" i="22"/>
  <c r="H25" i="22"/>
  <c r="G25" i="22"/>
  <c r="E25" i="22"/>
  <c r="D25" i="22"/>
  <c r="H24" i="22"/>
  <c r="G24" i="22"/>
  <c r="E24" i="22"/>
  <c r="D24" i="22"/>
  <c r="C23" i="22"/>
  <c r="H22" i="22"/>
  <c r="G22" i="22"/>
  <c r="E22" i="22"/>
  <c r="D22" i="22"/>
  <c r="H21" i="22"/>
  <c r="G21" i="22"/>
  <c r="E21" i="22"/>
  <c r="D21" i="22"/>
  <c r="H20" i="22"/>
  <c r="G20" i="22"/>
  <c r="E20" i="22"/>
  <c r="D20" i="22"/>
  <c r="H19" i="22"/>
  <c r="G19" i="22"/>
  <c r="E19" i="22"/>
  <c r="D19" i="22"/>
  <c r="H18" i="22"/>
  <c r="G18" i="22"/>
  <c r="E18" i="22"/>
  <c r="D18" i="22"/>
  <c r="H17" i="22"/>
  <c r="G17" i="22"/>
  <c r="E17" i="22"/>
  <c r="D17" i="22"/>
  <c r="H16" i="22"/>
  <c r="G16" i="22"/>
  <c r="E16" i="22"/>
  <c r="D16" i="22"/>
  <c r="H15" i="22"/>
  <c r="G15" i="22"/>
  <c r="E15" i="22"/>
  <c r="D15" i="22"/>
  <c r="H14" i="22"/>
  <c r="G14" i="22"/>
  <c r="E14" i="22"/>
  <c r="D14" i="22"/>
  <c r="H13" i="22"/>
  <c r="G13" i="22"/>
  <c r="E13" i="22"/>
  <c r="D13" i="22"/>
  <c r="H12" i="22"/>
  <c r="G12" i="22"/>
  <c r="E12" i="22"/>
  <c r="D12" i="22"/>
  <c r="H11" i="22"/>
  <c r="G11" i="22"/>
  <c r="E11" i="22"/>
  <c r="D11" i="22"/>
  <c r="H10" i="22"/>
  <c r="G10" i="22"/>
  <c r="E10" i="22"/>
  <c r="D10" i="22"/>
  <c r="H9" i="22"/>
  <c r="G9" i="22"/>
  <c r="E9" i="22"/>
  <c r="D9" i="22"/>
  <c r="H8" i="22"/>
  <c r="G7" i="22"/>
  <c r="E8" i="22"/>
  <c r="D8" i="22"/>
  <c r="H7" i="22"/>
  <c r="H23" i="22"/>
  <c r="E7" i="22"/>
  <c r="E23" i="22"/>
  <c r="D7" i="22"/>
  <c r="D23" i="22"/>
  <c r="B7" i="22"/>
  <c r="B8" i="22"/>
  <c r="B9" i="22"/>
  <c r="B10" i="22"/>
  <c r="B11" i="22"/>
  <c r="B12" i="22"/>
  <c r="B13" i="22"/>
  <c r="B14" i="22"/>
  <c r="B15" i="22"/>
  <c r="B16" i="22"/>
  <c r="B17" i="22"/>
  <c r="B18" i="22"/>
  <c r="B19" i="22"/>
  <c r="B20" i="22"/>
  <c r="B21" i="22"/>
  <c r="B22"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I7" i="21"/>
  <c r="D8" i="21"/>
  <c r="D9" i="21"/>
  <c r="D10" i="21"/>
  <c r="D11" i="21"/>
  <c r="D12" i="21"/>
  <c r="D13" i="21"/>
  <c r="D14" i="21"/>
  <c r="D15" i="21"/>
  <c r="D16" i="21"/>
  <c r="D17" i="21"/>
  <c r="D18" i="21"/>
  <c r="D19" i="21"/>
  <c r="D20" i="21"/>
  <c r="D21" i="21"/>
  <c r="D22"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N8" i="1"/>
  <c r="C50" i="21"/>
  <c r="C23" i="21"/>
  <c r="B7" i="21"/>
  <c r="B8" i="21"/>
  <c r="B9" i="21"/>
  <c r="B10" i="21"/>
  <c r="B11" i="21"/>
  <c r="B12" i="21"/>
  <c r="B13" i="21"/>
  <c r="B14" i="21"/>
  <c r="B15" i="21"/>
  <c r="B16" i="21"/>
  <c r="B17" i="21"/>
  <c r="B18" i="21"/>
  <c r="B19" i="21"/>
  <c r="B20" i="21"/>
  <c r="B21" i="21"/>
  <c r="B22"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C20" i="20"/>
  <c r="E7" i="20"/>
  <c r="E8" i="20"/>
  <c r="E9" i="20"/>
  <c r="E10" i="20"/>
  <c r="E11" i="20"/>
  <c r="E12" i="20"/>
  <c r="E13" i="20"/>
  <c r="E14" i="20"/>
  <c r="E15" i="20"/>
  <c r="E16" i="20"/>
  <c r="E17" i="20"/>
  <c r="C18" i="20"/>
  <c r="D18" i="20"/>
  <c r="E18" i="20"/>
  <c r="F18" i="20"/>
  <c r="D9" i="18"/>
  <c r="C11" i="18"/>
  <c r="C9" i="18"/>
  <c r="E11" i="18"/>
  <c r="F11" i="18"/>
  <c r="D13" i="18"/>
  <c r="D22" i="18" s="1"/>
  <c r="C14" i="18"/>
  <c r="E14" i="18"/>
  <c r="F14" i="18"/>
  <c r="C16" i="18"/>
  <c r="E16" i="18"/>
  <c r="F16" i="18"/>
  <c r="C17" i="18"/>
  <c r="E17" i="18"/>
  <c r="F17" i="18"/>
  <c r="C18" i="18"/>
  <c r="E18" i="18"/>
  <c r="F18" i="18"/>
  <c r="B7" i="16"/>
  <c r="C23" i="1"/>
  <c r="L23" i="21"/>
  <c r="D9" i="5"/>
  <c r="M23" i="21"/>
  <c r="D10" i="5"/>
  <c r="D10" i="6"/>
  <c r="C13" i="18"/>
  <c r="E13" i="18"/>
  <c r="F13" i="18"/>
  <c r="E9" i="18"/>
  <c r="D9" i="1"/>
  <c r="N9" i="1"/>
  <c r="B7" i="4"/>
  <c r="B8" i="4"/>
  <c r="B9" i="4"/>
  <c r="B10" i="4"/>
  <c r="B11" i="4"/>
  <c r="B12" i="4"/>
  <c r="B13" i="4"/>
  <c r="B14" i="4"/>
  <c r="B15" i="4"/>
  <c r="B16" i="4"/>
  <c r="B17" i="4"/>
  <c r="B18" i="4"/>
  <c r="H9" i="4"/>
  <c r="H10" i="4"/>
  <c r="D10" i="1"/>
  <c r="D11" i="1"/>
  <c r="D12" i="1"/>
  <c r="D13" i="1"/>
  <c r="D14" i="1"/>
  <c r="D15" i="1"/>
  <c r="D16" i="1"/>
  <c r="D17" i="1"/>
  <c r="D18" i="1"/>
  <c r="D19" i="1"/>
  <c r="D20" i="1"/>
  <c r="D21" i="1"/>
  <c r="D22" i="1"/>
  <c r="D24" i="1"/>
  <c r="D25" i="1"/>
  <c r="D26" i="1"/>
  <c r="D27" i="1"/>
  <c r="D28" i="1"/>
  <c r="D29" i="1"/>
  <c r="D30" i="1"/>
  <c r="D31" i="1"/>
  <c r="D32" i="1"/>
  <c r="D33" i="1"/>
  <c r="D34" i="1"/>
  <c r="D35" i="1"/>
  <c r="D36" i="1"/>
  <c r="D37" i="1"/>
  <c r="D38" i="1"/>
  <c r="D39" i="1"/>
  <c r="D40" i="1"/>
  <c r="D41" i="1"/>
  <c r="D42" i="1"/>
  <c r="D43" i="1"/>
  <c r="D44" i="1"/>
  <c r="D45" i="1"/>
  <c r="D46" i="1"/>
  <c r="D47" i="1"/>
  <c r="D48" i="1"/>
  <c r="D49" i="1"/>
  <c r="N10" i="1"/>
  <c r="N11" i="1"/>
  <c r="N12" i="1"/>
  <c r="N13" i="1"/>
  <c r="N14" i="1"/>
  <c r="N15" i="1"/>
  <c r="N16" i="1"/>
  <c r="N17" i="1"/>
  <c r="N18" i="1"/>
  <c r="N19" i="1"/>
  <c r="N20" i="1"/>
  <c r="N21" i="1"/>
  <c r="N22" i="1"/>
  <c r="N24" i="1"/>
  <c r="N25" i="1"/>
  <c r="N26" i="1"/>
  <c r="N27" i="1"/>
  <c r="N28" i="1"/>
  <c r="N29" i="1"/>
  <c r="N30" i="1"/>
  <c r="N31" i="1"/>
  <c r="N32" i="1"/>
  <c r="N33" i="1"/>
  <c r="N34" i="1"/>
  <c r="N35" i="1"/>
  <c r="N36" i="1"/>
  <c r="N37" i="1"/>
  <c r="N38" i="1"/>
  <c r="N39" i="1"/>
  <c r="N40" i="1"/>
  <c r="N41" i="1"/>
  <c r="N42" i="1"/>
  <c r="N43" i="1"/>
  <c r="N44" i="1"/>
  <c r="N45" i="1"/>
  <c r="N46" i="1"/>
  <c r="N47" i="1"/>
  <c r="N48" i="1"/>
  <c r="N49" i="1"/>
  <c r="B7" i="1"/>
  <c r="B8" i="1"/>
  <c r="B9" i="1"/>
  <c r="B10" i="1"/>
  <c r="B11" i="1"/>
  <c r="B12" i="1"/>
  <c r="B13" i="1"/>
  <c r="B14" i="1"/>
  <c r="B15" i="1"/>
  <c r="B16" i="1"/>
  <c r="B17" i="1"/>
  <c r="B18" i="1"/>
  <c r="B19" i="1"/>
  <c r="B20" i="1"/>
  <c r="B21" i="1"/>
  <c r="B22" i="1"/>
  <c r="B24" i="1"/>
  <c r="B25" i="1"/>
  <c r="B26" i="1"/>
  <c r="B27" i="1"/>
  <c r="B28" i="1"/>
  <c r="B29" i="1"/>
  <c r="B30" i="1"/>
  <c r="B31" i="1"/>
  <c r="B32" i="1"/>
  <c r="B33" i="1"/>
  <c r="B34" i="1"/>
  <c r="B35" i="1"/>
  <c r="B36" i="1"/>
  <c r="B37" i="1"/>
  <c r="B38" i="1"/>
  <c r="H11" i="4"/>
  <c r="H12" i="4"/>
  <c r="H13" i="4"/>
  <c r="H14" i="4"/>
  <c r="H15" i="4"/>
  <c r="H16" i="4"/>
  <c r="H17" i="4"/>
  <c r="H18" i="4"/>
  <c r="D8" i="1"/>
  <c r="E8" i="2"/>
  <c r="E12" i="2"/>
  <c r="E10" i="2"/>
  <c r="E14" i="2"/>
  <c r="E11" i="2"/>
  <c r="E15" i="2"/>
  <c r="E9" i="2"/>
  <c r="E13" i="2"/>
  <c r="E7" i="2"/>
  <c r="C8" i="2" a="1"/>
  <c r="C8" i="2" s="1"/>
  <c r="C10" i="2" a="1"/>
  <c r="C10" i="2" s="1"/>
  <c r="C12" i="2" a="1"/>
  <c r="C12" i="2" s="1"/>
  <c r="C14" i="2" a="1"/>
  <c r="C14" i="2" s="1"/>
  <c r="C9" i="2" a="1"/>
  <c r="C9" i="2" s="1"/>
  <c r="C11" i="2" a="1"/>
  <c r="C11" i="2" s="1"/>
  <c r="C13" i="2" a="1"/>
  <c r="C13" i="2" s="1"/>
  <c r="C15" i="2" a="1"/>
  <c r="C15" i="2" s="1"/>
  <c r="C7" i="2" a="1"/>
  <c r="C7" i="2" s="1"/>
  <c r="I23" i="1"/>
  <c r="C8" i="5"/>
  <c r="M23" i="1"/>
  <c r="C10" i="5"/>
  <c r="E10" i="5"/>
  <c r="F10" i="5"/>
  <c r="L23" i="1"/>
  <c r="C9" i="5"/>
  <c r="E9" i="5"/>
  <c r="F9" i="5"/>
  <c r="D9" i="6"/>
  <c r="E22" i="18"/>
  <c r="F22" i="18"/>
  <c r="F9" i="18"/>
  <c r="C22" i="18"/>
  <c r="B39" i="1"/>
  <c r="B40" i="1"/>
  <c r="B41" i="1"/>
  <c r="B42" i="1"/>
  <c r="B43" i="1"/>
  <c r="B44" i="1"/>
  <c r="B45" i="1"/>
  <c r="B46" i="1"/>
  <c r="B47" i="1"/>
  <c r="B48" i="1"/>
  <c r="B49" i="1"/>
  <c r="D9" i="4"/>
  <c r="N23" i="1"/>
  <c r="C11" i="5"/>
  <c r="D16" i="4"/>
  <c r="C17" i="4"/>
  <c r="D7" i="4"/>
  <c r="C9" i="4"/>
  <c r="C18" i="4"/>
  <c r="C10" i="4"/>
  <c r="D14" i="4"/>
  <c r="C11" i="4"/>
  <c r="D10" i="4"/>
  <c r="C12" i="4"/>
  <c r="C13" i="4"/>
  <c r="C15" i="4"/>
  <c r="D11" i="4"/>
  <c r="C16" i="4"/>
  <c r="C14" i="4"/>
  <c r="D12" i="4"/>
  <c r="D17" i="4"/>
  <c r="D8" i="4"/>
  <c r="D15" i="4"/>
  <c r="D13" i="4"/>
  <c r="C7" i="4"/>
  <c r="D18" i="4"/>
  <c r="C19" i="4"/>
  <c r="D50" i="1"/>
  <c r="N50" i="1"/>
  <c r="C11" i="6"/>
  <c r="C8" i="6"/>
  <c r="C10" i="6"/>
  <c r="C9" i="6"/>
  <c r="D7" i="21" l="1"/>
  <c r="N7" i="21" s="1"/>
  <c r="N23" i="21" s="1"/>
  <c r="D11" i="5" s="1"/>
  <c r="I23" i="21"/>
  <c r="E11" i="5"/>
  <c r="F11" i="5" s="1"/>
  <c r="D11" i="6"/>
  <c r="C7" i="6"/>
  <c r="D19" i="4"/>
  <c r="E7" i="4"/>
  <c r="F12" i="2"/>
  <c r="F10" i="2"/>
  <c r="F8" i="2"/>
  <c r="F11" i="2"/>
  <c r="F15" i="2"/>
  <c r="F9" i="2"/>
  <c r="F13" i="2"/>
  <c r="F7" i="2"/>
  <c r="F14" i="2"/>
  <c r="D23" i="21" l="1"/>
  <c r="D7" i="5" s="1"/>
  <c r="D8" i="5"/>
  <c r="E19" i="4"/>
  <c r="F7" i="4"/>
  <c r="E7" i="5" l="1"/>
  <c r="F7" i="5" s="1"/>
  <c r="D7" i="6"/>
  <c r="E8" i="5"/>
  <c r="F8" i="5" s="1"/>
  <c r="D8" i="6"/>
  <c r="G7" i="4"/>
  <c r="F19" i="4"/>
  <c r="F12" i="5" l="1"/>
  <c r="H8" i="4"/>
  <c r="G19" i="4"/>
  <c r="H7" i="4"/>
  <c r="D50" i="21"/>
  <c r="I50" i="21"/>
  <c r="L50" i="21"/>
  <c r="M50" i="21"/>
  <c r="N50" i="2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<sst xmlns="http://schemas.openxmlformats.org/spreadsheetml/2006/main" count="711" uniqueCount="360">
  <si>
    <t>Net Pay</t>
  </si>
  <si>
    <t>Capital One</t>
  </si>
  <si>
    <t>Status / Frequency</t>
  </si>
  <si>
    <t>Notes</t>
  </si>
  <si>
    <t>One-time/default amount</t>
  </si>
  <si>
    <t>Must be addressed promptly</t>
  </si>
  <si>
    <t>Outstanding collection account</t>
  </si>
  <si>
    <t>Contact for verification</t>
  </si>
  <si>
    <t>Work with the agency</t>
  </si>
  <si>
    <t>Enterprise / Collections</t>
  </si>
  <si>
    <t>Prioritize negotiation</t>
  </si>
  <si>
    <t>Category</t>
  </si>
  <si>
    <t>Planned Amount</t>
  </si>
  <si>
    <t>Actual Amount</t>
  </si>
  <si>
    <t>Variance</t>
  </si>
  <si>
    <t>Fixed Expenses</t>
  </si>
  <si>
    <t>Min. Debt Payments</t>
  </si>
  <si>
    <t>CC Spending</t>
  </si>
  <si>
    <t>Extra Debt Repayment</t>
  </si>
  <si>
    <t>Emergency Buffer/Savings</t>
  </si>
  <si>
    <t>Projected Savings for Project Operating Capital</t>
  </si>
  <si>
    <t>Data as of June 1, 2025</t>
  </si>
  <si>
    <t>Monthly Cash Flow &amp; Variance Spreadsheet</t>
  </si>
  <si>
    <t>Budgeted Amount</t>
  </si>
  <si>
    <t>Comment</t>
  </si>
  <si>
    <t>Income &amp; Sources</t>
  </si>
  <si>
    <t>Expenses--MO / ACH</t>
  </si>
  <si>
    <t>Mandatory Fixed--Rent</t>
  </si>
  <si>
    <t>Obligation--Tyler</t>
  </si>
  <si>
    <t>Obligation--Dad</t>
  </si>
  <si>
    <t>Certificate of Deposit--Self</t>
  </si>
  <si>
    <t>Credit Card</t>
  </si>
  <si>
    <t>Obligation--Deliquent</t>
  </si>
  <si>
    <t>Net Surplus (Deficit)</t>
  </si>
  <si>
    <t>(Note: In the formulas above, adjust the cell references according to where you place your “Assumptions” and main table. For instance, if net income is in cell B2 on the Assumptions sheet, refer to it as shown.)</t>
  </si>
  <si>
    <t>Step 3. Setting Up the Variance Analysis</t>
  </si>
  <si>
    <t>The key idea with variances is:</t>
  </si>
  <si>
    <t>For Income:</t>
  </si>
  <si>
    <r>
      <t>Favorable:</t>
    </r>
    <r>
      <rPr>
        <sz val="11"/>
        <color theme="1"/>
        <rFont val="Consolas"/>
        <family val="3"/>
      </rPr>
      <t xml:space="preserve"> Actual income exceeds budgeted income.</t>
    </r>
  </si>
  <si>
    <r>
      <t>Unfavorable:</t>
    </r>
    <r>
      <rPr>
        <sz val="11"/>
        <color theme="1"/>
        <rFont val="Consolas"/>
        <family val="3"/>
      </rPr>
      <t xml:space="preserve"> Actual income is less than budgeted.</t>
    </r>
  </si>
  <si>
    <t>For Expenses:</t>
  </si>
  <si>
    <r>
      <t>Favorable:</t>
    </r>
    <r>
      <rPr>
        <sz val="11"/>
        <color theme="1"/>
        <rFont val="Consolas"/>
        <family val="3"/>
      </rPr>
      <t xml:space="preserve"> Actual expense is less than budgeted (spend less than planned).</t>
    </r>
  </si>
  <si>
    <r>
      <t>Unfavorable:</t>
    </r>
    <r>
      <rPr>
        <sz val="11"/>
        <color theme="1"/>
        <rFont val="Consolas"/>
        <family val="3"/>
      </rPr>
      <t xml:space="preserve"> Actual expense exceeds budgeted (overspending).</t>
    </r>
  </si>
  <si>
    <t>You can add conditional formatting to the “Variance” or “Comment” column for quick visual cues. For example:</t>
  </si>
  <si>
    <r>
      <t>Green fill</t>
    </r>
    <r>
      <rPr>
        <sz val="11"/>
        <color theme="1"/>
        <rFont val="Consolas"/>
        <family val="3"/>
      </rPr>
      <t xml:space="preserve"> if the variance is favorable.</t>
    </r>
  </si>
  <si>
    <r>
      <t>Red fill</t>
    </r>
    <r>
      <rPr>
        <sz val="11"/>
        <color theme="1"/>
        <rFont val="Consolas"/>
        <family val="3"/>
      </rPr>
      <t xml:space="preserve"> if the variance is unfavorable.</t>
    </r>
  </si>
  <si>
    <t>Step 4. Experimenting with Scenarios</t>
  </si>
  <si>
    <t>1. Adjust the Assumptions:</t>
  </si>
  <si>
    <t>Change the values in the Assumptions section (like net income or specific expenses) to see how your overall cash flow and net surplus/deficit change. Your formulas should recalculate automatically.</t>
  </si>
  <si>
    <t>2. Simulate Shocks:</t>
  </si>
  <si>
    <t>Try simulating a month where one fixed expense increases unexpectedly or net income drops slightly. Observe how the variance columns change and how much cushion you have left as “Net Cash Flow.”</t>
  </si>
  <si>
    <t>3. Decision Making:</t>
  </si>
  <si>
    <t>Use the output to adjust your spending strategies. If, for example, the spreadsheet indicates that overspending in the variable category is causing an unfavorable variance, you might decide to tighten that envelope or reallocate funds from your surplus.</t>
  </si>
  <si>
    <t>4. Add More Detail:</t>
  </si>
  <si>
    <t>If you’d like, expand the table with additional rows for other expense categories (like groceries, transportation, entertainment) to see which areas might need adjustment.</t>
  </si>
  <si>
    <t>How to Implement This Template</t>
  </si>
  <si>
    <t>Excel/Google Sheets:</t>
  </si>
  <si>
    <t>Open a new spreadsheet and create two sections: one for Assumptions (maybe on a separate sheet called “Assumptions”) and one for your Cash Flow &amp; Variance table (on the main sheet). Use the formulas above as a starting point.</t>
  </si>
  <si>
    <t>Customizing Your Sheet:</t>
  </si>
  <si>
    <t>Modify formatting, add charts, or pivot tables if you’re interested in visualizing your cash flow over time. You can even create a “What-If” analysis using the built-in tools (like Data Tables in Excel) to see how changes in income or expenses impact your net cash flow.</t>
  </si>
  <si>
    <t>This dynamic spreadsheet lets you play with the numbers—seeing exactly how adjustments to pay or expense categories affect your overall budget health. Not only does it clarify your current position, but it also equips you to forecast whether your budget can withstand changes over time.</t>
  </si>
  <si>
    <t>Is there a particular part of this template you’d like to dive deeper into, or do you want suggestions for more advanced formulas to further automate your analysis?</t>
  </si>
  <si>
    <t>Percentages based on data as of June 1, 2025</t>
  </si>
  <si>
    <t>Net surplus (deficit) per month under Project Operating Capital</t>
  </si>
  <si>
    <t>Values computed from data as of month end</t>
  </si>
  <si>
    <t>MONTH</t>
  </si>
  <si>
    <t>NET INCOME</t>
  </si>
  <si>
    <t>FIXED OBLIGATIONS</t>
  </si>
  <si>
    <t>CREDIT ALLOWANCE</t>
  </si>
  <si>
    <t>TOTAL EXPENSES</t>
  </si>
  <si>
    <t>NET SURPLUS (DEFICIT)</t>
  </si>
  <si>
    <t>Total</t>
  </si>
  <si>
    <t>CATEGORY</t>
  </si>
  <si>
    <t>BUDGETED</t>
  </si>
  <si>
    <t>ACTUAL</t>
  </si>
  <si>
    <t>CONDITION</t>
  </si>
  <si>
    <t>VARIANCE</t>
  </si>
  <si>
    <t>CREDIT CARD USAGE</t>
  </si>
  <si>
    <t>DEBT EXTINGUISHMENT, EXTRA</t>
  </si>
  <si>
    <t>DEBT EXTINGUISHMENT, MINIMUM</t>
  </si>
  <si>
    <t>WORKING CAPITAL</t>
  </si>
  <si>
    <t>TOTAL</t>
  </si>
  <si>
    <t>PAY DATE</t>
  </si>
  <si>
    <t>NET PAY</t>
  </si>
  <si>
    <t>Phase I: Debt extinguishment and Credit resolution</t>
  </si>
  <si>
    <t>Column2</t>
  </si>
  <si>
    <t>Column3</t>
  </si>
  <si>
    <t>Monthly Change</t>
  </si>
  <si>
    <t>Schedule of Credit, Collections, and Obligations</t>
  </si>
  <si>
    <t>Webbank</t>
  </si>
  <si>
    <t>Enterprise</t>
  </si>
  <si>
    <t>Monty Breneman</t>
  </si>
  <si>
    <t>Tyler Breneman</t>
  </si>
  <si>
    <t>ALLOCATED CREDIT USE</t>
  </si>
  <si>
    <t>DEBT EXT MIN</t>
  </si>
  <si>
    <t>DEBT EXT EXTRA</t>
  </si>
  <si>
    <t>TOTAL 2025</t>
  </si>
  <si>
    <t>TOTAL 2026</t>
  </si>
  <si>
    <t>Proportion delegated to each expenditure category</t>
  </si>
  <si>
    <t>BEG BAL</t>
  </si>
  <si>
    <t>LAST PAYMENT DATE</t>
  </si>
  <si>
    <t>CURRENT BAL</t>
  </si>
  <si>
    <t>% ENTINGUISHED</t>
  </si>
  <si>
    <t>PAYEE</t>
  </si>
  <si>
    <t>CAPITAL ONE</t>
  </si>
  <si>
    <t>ELAN</t>
  </si>
  <si>
    <t>TYLER BRENEMAN</t>
  </si>
  <si>
    <t>SELF</t>
  </si>
  <si>
    <t>SECURED</t>
  </si>
  <si>
    <t>ACCOUNT</t>
  </si>
  <si>
    <t>NCR STATEMENT</t>
  </si>
  <si>
    <t>WEBBANK</t>
  </si>
  <si>
    <t>KANSAS DEPT OF REVENUE</t>
  </si>
  <si>
    <t>MONTY BRENEMAN</t>
  </si>
  <si>
    <t>SELF INC</t>
  </si>
  <si>
    <t>CR MCC</t>
  </si>
  <si>
    <t>CR VFB</t>
  </si>
  <si>
    <t>DP 001</t>
  </si>
  <si>
    <t>DP 002</t>
  </si>
  <si>
    <t>DP 003</t>
  </si>
  <si>
    <t>TP SIT</t>
  </si>
  <si>
    <t>AP 103</t>
  </si>
  <si>
    <t>AP 102</t>
  </si>
  <si>
    <t>NP SLF</t>
  </si>
  <si>
    <t>NCR Statement</t>
  </si>
  <si>
    <t>Collection</t>
  </si>
  <si>
    <t>Credit</t>
  </si>
  <si>
    <t>Kansas Department of Revenue</t>
  </si>
  <si>
    <t>Taxes Payable</t>
  </si>
  <si>
    <t>Nelnet/US Department of Education</t>
  </si>
  <si>
    <t>Obligation</t>
  </si>
  <si>
    <t>Self Inc</t>
  </si>
  <si>
    <t>DATE</t>
  </si>
  <si>
    <t>TRACE NO.</t>
  </si>
  <si>
    <t>AMOUNT</t>
  </si>
  <si>
    <t>COMMENT</t>
  </si>
  <si>
    <t>ADJ</t>
  </si>
  <si>
    <t>OA?</t>
  </si>
  <si>
    <t>ADJ INT</t>
  </si>
  <si>
    <t>Money order</t>
  </si>
  <si>
    <t>Maximum CR VFB</t>
  </si>
  <si>
    <t>Maximum CR MCC</t>
  </si>
  <si>
    <t>L NP TRB</t>
  </si>
  <si>
    <t>L CR VFB</t>
  </si>
  <si>
    <t>L CR MCC</t>
  </si>
  <si>
    <t>L NP SLF / A IT SLF</t>
  </si>
  <si>
    <t>L NP DAD</t>
  </si>
  <si>
    <t>X MF RNT</t>
  </si>
  <si>
    <t>R WS NTP</t>
  </si>
  <si>
    <t>Value</t>
  </si>
  <si>
    <t>Parameter</t>
  </si>
  <si>
    <t>X UT WTR</t>
  </si>
  <si>
    <t>X FD SUB</t>
  </si>
  <si>
    <t xml:space="preserve">X </t>
  </si>
  <si>
    <t>Subscription--Peacock</t>
  </si>
  <si>
    <t>X IU MSI</t>
  </si>
  <si>
    <t xml:space="preserve">X FM </t>
  </si>
  <si>
    <t>Subscription--Hulu</t>
  </si>
  <si>
    <t>Subscription--Here TV</t>
  </si>
  <si>
    <t>X V</t>
  </si>
  <si>
    <t>Groceries</t>
  </si>
  <si>
    <t>Gas &amp; Oil</t>
  </si>
  <si>
    <t>X UT</t>
  </si>
  <si>
    <t>X IU ETC</t>
  </si>
  <si>
    <t>KAB NO.</t>
  </si>
  <si>
    <t>Actual</t>
  </si>
  <si>
    <t>Budgeted</t>
  </si>
  <si>
    <t>Expense</t>
  </si>
  <si>
    <t>Phase 1: Debt extinguishment and Credit resolution</t>
  </si>
  <si>
    <t>Schedule of Expenditure Category Variance</t>
  </si>
  <si>
    <t>Adherence to Project Operation Capital</t>
  </si>
  <si>
    <t>RENT</t>
  </si>
  <si>
    <t>DAD</t>
  </si>
  <si>
    <t>TYLER</t>
  </si>
  <si>
    <t>MCC</t>
  </si>
  <si>
    <t>VFB</t>
  </si>
  <si>
    <t>This schedule supersedes the pro rata schedule unless otherwise indicated.</t>
  </si>
  <si>
    <t>Analysis of deviations, if any, from Project Working Capital</t>
  </si>
  <si>
    <t>Phase 1. Debt extinguishment and Credit resolution</t>
  </si>
  <si>
    <t>Preparations for deviations from (adherence to) Project Working Capital</t>
  </si>
  <si>
    <t>Insurance--Avibra</t>
  </si>
  <si>
    <t>Utilities--Electric Evergy</t>
  </si>
  <si>
    <t>Utilities--Natural Gas</t>
  </si>
  <si>
    <t>Insurance--Property MSI</t>
  </si>
  <si>
    <t>Subscription--Spotify</t>
  </si>
  <si>
    <t>Utilities--Water</t>
  </si>
  <si>
    <t>LAPCMR1</t>
  </si>
  <si>
    <t>A</t>
  </si>
  <si>
    <t>FXD</t>
  </si>
  <si>
    <t>AFXDBFE</t>
  </si>
  <si>
    <t>IUC</t>
  </si>
  <si>
    <t>ASTBFH</t>
  </si>
  <si>
    <t>IUF</t>
  </si>
  <si>
    <t>ASTBFS</t>
  </si>
  <si>
    <t>CAP</t>
  </si>
  <si>
    <t>ASTBNE</t>
  </si>
  <si>
    <t>IVT</t>
  </si>
  <si>
    <t>ASTBNH</t>
  </si>
  <si>
    <t>CNS</t>
  </si>
  <si>
    <t>ASTBNS</t>
  </si>
  <si>
    <t>PPD</t>
  </si>
  <si>
    <t>ASTCAP</t>
  </si>
  <si>
    <t>GRO</t>
  </si>
  <si>
    <t>ASTIUC</t>
  </si>
  <si>
    <t>CLN</t>
  </si>
  <si>
    <t>ASTIUF</t>
  </si>
  <si>
    <t>REC</t>
  </si>
  <si>
    <t>CARFLD</t>
  </si>
  <si>
    <t>LIQ</t>
  </si>
  <si>
    <t>CARGAS</t>
  </si>
  <si>
    <t>CARMTR</t>
  </si>
  <si>
    <t>CARMTS</t>
  </si>
  <si>
    <t>CARMTU</t>
  </si>
  <si>
    <t>CAROIL</t>
  </si>
  <si>
    <t>CCRMCA</t>
  </si>
  <si>
    <t>CCRMCC</t>
  </si>
  <si>
    <t>CNSCLN</t>
  </si>
  <si>
    <t>CNSGRO</t>
  </si>
  <si>
    <t>CNSINC</t>
  </si>
  <si>
    <t>NFCUCR</t>
  </si>
  <si>
    <t>NFCUED</t>
  </si>
  <si>
    <t>HSERNT</t>
  </si>
  <si>
    <t>LIQFCU</t>
  </si>
  <si>
    <t>LQCCSH</t>
  </si>
  <si>
    <t>LQCPPL</t>
  </si>
  <si>
    <t>LQKCSH</t>
  </si>
  <si>
    <t>LQKPPL</t>
  </si>
  <si>
    <t>MEDCRX</t>
  </si>
  <si>
    <t>MEDCVT</t>
  </si>
  <si>
    <t>MEDXER</t>
  </si>
  <si>
    <t>Month</t>
  </si>
  <si>
    <t>NELNET</t>
  </si>
  <si>
    <t>SRVHBT</t>
  </si>
  <si>
    <t>SUBAIC</t>
  </si>
  <si>
    <t>SUBAZN</t>
  </si>
  <si>
    <t>SUBHLU</t>
  </si>
  <si>
    <t>SUBMSO</t>
  </si>
  <si>
    <t>SUBNFX</t>
  </si>
  <si>
    <t>SUBNYT</t>
  </si>
  <si>
    <t>SUBSPT</t>
  </si>
  <si>
    <t>SVRBOT</t>
  </si>
  <si>
    <t>SVRFCU</t>
  </si>
  <si>
    <t>SVRNTS</t>
  </si>
  <si>
    <t>UTLELE</t>
  </si>
  <si>
    <t>UTLINT</t>
  </si>
  <si>
    <t>UTLWTR</t>
  </si>
  <si>
    <t>UTLSWR</t>
  </si>
  <si>
    <t>UTLGAS</t>
  </si>
  <si>
    <t>UTLETC</t>
  </si>
  <si>
    <t>APKAB1</t>
  </si>
  <si>
    <t>APKAB2</t>
  </si>
  <si>
    <t>APKAB3</t>
  </si>
  <si>
    <t>APCMR2</t>
  </si>
  <si>
    <t>APCMR3</t>
  </si>
  <si>
    <t>GL-DIV</t>
  </si>
  <si>
    <t>AT-FCT</t>
  </si>
  <si>
    <t>AT-FTL</t>
  </si>
  <si>
    <t>AT-NUM</t>
  </si>
  <si>
    <t>SL-SUM?</t>
  </si>
  <si>
    <t>BL-IST</t>
  </si>
  <si>
    <t>Cash and equivalents</t>
  </si>
  <si>
    <t>Readily available</t>
  </si>
  <si>
    <t>Restricted for saving</t>
  </si>
  <si>
    <t>Cryptocurrency</t>
  </si>
  <si>
    <t>Prepaid expenses</t>
  </si>
  <si>
    <t>Store credit</t>
  </si>
  <si>
    <t>Accounts receivable</t>
  </si>
  <si>
    <t>Aggregate</t>
  </si>
  <si>
    <t>Interest receivable</t>
  </si>
  <si>
    <t>Retirement investment</t>
  </si>
  <si>
    <t>Employer Matched Roth</t>
  </si>
  <si>
    <t>Employer Matched Traditional</t>
  </si>
  <si>
    <t>Roth</t>
  </si>
  <si>
    <t>Traditional</t>
  </si>
  <si>
    <t>Long-term assets</t>
  </si>
  <si>
    <t>Insured</t>
  </si>
  <si>
    <t>Library</t>
  </si>
  <si>
    <t>Capital</t>
  </si>
  <si>
    <t>Accumulated depreciation, depletion, and amortization</t>
  </si>
  <si>
    <t>Short-term investments</t>
  </si>
  <si>
    <t>Allowance for uncollectible accounts</t>
  </si>
  <si>
    <t>Consumables</t>
  </si>
  <si>
    <t>Long-term assets, excl. capital assets</t>
  </si>
  <si>
    <t>Capital assets</t>
  </si>
  <si>
    <t>Retirement Investment</t>
  </si>
  <si>
    <t>Clothing and shoes</t>
  </si>
  <si>
    <t>Collectibles per irc 425</t>
  </si>
  <si>
    <t>L</t>
  </si>
  <si>
    <t>Accounts payable</t>
  </si>
  <si>
    <t>Shared</t>
  </si>
  <si>
    <t>Attributed to KAB</t>
  </si>
  <si>
    <t>Attributed to CMR</t>
  </si>
  <si>
    <t>Interest payable</t>
  </si>
  <si>
    <t>Credit cards, notes, and taxes</t>
  </si>
  <si>
    <t>Notes payable</t>
  </si>
  <si>
    <t>Short-term notes</t>
  </si>
  <si>
    <t>Matured portion of long-term notes</t>
  </si>
  <si>
    <t>Outstanding portion of long-term notes</t>
  </si>
  <si>
    <t>Taxes</t>
  </si>
  <si>
    <t>Credit cards</t>
  </si>
  <si>
    <t>Charges</t>
  </si>
  <si>
    <t xml:space="preserve">Interest, fees, </t>
  </si>
  <si>
    <t>Taxes payable</t>
  </si>
  <si>
    <t>Q</t>
  </si>
  <si>
    <t>Unrealized gains and losses</t>
  </si>
  <si>
    <t>Reconciliation</t>
  </si>
  <si>
    <t>Income summary</t>
  </si>
  <si>
    <t>Net cumulative economic effect</t>
  </si>
  <si>
    <t>Short and over</t>
  </si>
  <si>
    <t>Gains and losses from investments</t>
  </si>
  <si>
    <t>Gains and losses from fair-value adjustments and impairments</t>
  </si>
  <si>
    <t>R</t>
  </si>
  <si>
    <t>Irregular income</t>
  </si>
  <si>
    <t>Loyalty and rewards</t>
  </si>
  <si>
    <t>Income</t>
  </si>
  <si>
    <t>Salary and wages received</t>
  </si>
  <si>
    <t>Net pay received</t>
  </si>
  <si>
    <t>Bonus and irregular pay received</t>
  </si>
  <si>
    <t>Benefits other than retirement received</t>
  </si>
  <si>
    <t>INTEREST</t>
  </si>
  <si>
    <t>Banks</t>
  </si>
  <si>
    <t>Rewards</t>
  </si>
  <si>
    <t>Gifts</t>
  </si>
  <si>
    <t>X</t>
  </si>
  <si>
    <t>Depreciation, depletion, and amortization</t>
  </si>
  <si>
    <t>Automobile maintenance</t>
  </si>
  <si>
    <t>Charitable contributions</t>
  </si>
  <si>
    <t>Clothes and shoes</t>
  </si>
  <si>
    <t>Copays</t>
  </si>
  <si>
    <t>Entertainment</t>
  </si>
  <si>
    <t>Fees--Other than NSF</t>
  </si>
  <si>
    <t>Food and Drink</t>
  </si>
  <si>
    <t>Gas and fluids</t>
  </si>
  <si>
    <t>Goods and Services</t>
  </si>
  <si>
    <t>Health and Beauty</t>
  </si>
  <si>
    <t>Insurance</t>
  </si>
  <si>
    <t>Insurance Car</t>
  </si>
  <si>
    <t>Miscellaneous</t>
  </si>
  <si>
    <t>Non-Sufficient Funds</t>
  </si>
  <si>
    <t>Political Contributions</t>
  </si>
  <si>
    <t>Stationery and consumables</t>
  </si>
  <si>
    <t>Subscriptions</t>
  </si>
  <si>
    <t>Work Supplies</t>
  </si>
  <si>
    <t>Interest Expense</t>
  </si>
  <si>
    <t>Farmway Credit Union Car</t>
  </si>
  <si>
    <t>Farmway Credit Union Student</t>
  </si>
  <si>
    <t>Nelnet Student Loan</t>
  </si>
  <si>
    <t>Credit Cards</t>
  </si>
  <si>
    <t>Withholdings</t>
  </si>
  <si>
    <t>Federal Income</t>
  </si>
  <si>
    <t>Medicare</t>
  </si>
  <si>
    <t>Social Security</t>
  </si>
  <si>
    <t>State INCO</t>
  </si>
  <si>
    <t>Cash and cash equivalents</t>
  </si>
  <si>
    <t>Loyalty and gift cards</t>
  </si>
  <si>
    <t>Drawing</t>
  </si>
  <si>
    <t>Investments</t>
  </si>
  <si>
    <t>Collectibles</t>
  </si>
  <si>
    <t>Advanced Pay, net of fees</t>
  </si>
  <si>
    <t>Short-term Debt--Cash 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</si>
</sst>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mmm\ yy"/>
    <numFmt numFmtId="165" formatCode="mm/dd/yy;@"/>
  </numFmts>
  <fonts count="14" x14ac:knownFonts="1">
    <font>
      <sz val="11"/>
      <color theme="1"/>
      <name val="Consolas"/>
      <family val="3"/>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26"/>
      <color theme="1"/>
      <name val="Rockwell"/>
      <family val="1"/>
    </font>
    <font>
      <sz val="18"/>
      <color theme="1"/>
      <name val="Rockwell"/>
      <family val="1"/>
    </font>
    <font>
      <sz val="8"/>
      <name val="Calibri"/>
      <family val="2"/>
      <scheme val="minor"/>
    </font>
    <font>
      <b/>
      <sz val="11"/>
      <color theme="0"/>
      <name val="Consolas"/>
      <family val="3"/>
    </font>
    <font>
      <sz val="11"/>
      <color theme="1"/>
      <name val="Consolas"/>
      <family val="3"/>
    </font>
    <font>
      <sz val="8"/>
      <name val="Consolas"/>
      <family val="3"/>
    </font>
    <font>
      <sz val="11"/>
      <color theme="1"/>
      <name val="Consolas"/>
    </font>
  </fonts>
  <fills count="3">
    <fill>
      <patternFill patternType="none"/>
    </fill>
    <fill>
      <patternFill patternType="gray125"/>
    </fill>
    <fill>
      <patternFill patternType="solid">
        <fgColor theme="1"/>
        <bgColor theme="1"/>
      </patternFill>
    </fill>
  </fills>
  <borders count="26">
    <border>
      <left/>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style="thin">
        <color theme="1"/>
      </top>
      <bottom/>
      <diagonal/>
    </border>
    <border>
      <left style="thin">
        <color indexed="64"/>
      </left>
      <right/>
      <top/>
      <bottom/>
      <diagonal/>
    </border>
    <border>
      <left style="thin">
        <color theme="1"/>
      </left>
      <right/>
      <top/>
      <bottom/>
      <diagonal/>
    </border>
    <border>
      <left/>
      <right/>
      <top/>
      <bottom style="thin">
        <color indexed="64"/>
      </bottom>
      <diagonal/>
    </border>
    <border>
      <left style="medium">
        <color indexed="64"/>
      </left>
      <right/>
      <top/>
      <bottom style="thin">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theme="1"/>
      </top>
      <bottom/>
      <diagonal/>
    </border>
    <border>
      <left style="medium">
        <color indexed="64"/>
      </left>
      <right style="medium">
        <color indexed="64"/>
      </right>
      <top style="thin">
        <color indexed="64"/>
      </top>
      <bottom style="double">
        <color indexed="64"/>
      </bottom>
      <diagonal/>
    </border>
    <border>
      <left/>
      <right style="thin">
        <color theme="1"/>
      </right>
      <top/>
      <bottom/>
      <diagonal/>
    </border>
    <border>
      <left/>
      <right/>
      <top style="thin">
        <color indexed="64"/>
      </top>
      <bottom/>
      <diagonal/>
    </border>
    <border>
      <left style="thin">
        <color theme="0"/>
      </left>
      <right/>
      <top style="thin">
        <color theme="1"/>
      </top>
      <bottom/>
      <diagonal/>
    </border>
    <border>
      <left style="thin">
        <color theme="0"/>
      </left>
      <right/>
      <top/>
      <bottom/>
      <diagonal/>
    </border>
    <border>
      <left/>
      <right style="thin">
        <color indexed="64"/>
      </right>
      <top/>
      <bottom/>
      <diagonal/>
    </border>
  </borders>
  <cellStyleXfs count="5">
    <xf numFmtId="0" fontId="0" fillId="0" borderId="0"/>
    <xf numFmtId="43" fontId="5" fillId="0" borderId="0" applyFont="0" applyFill="0" applyBorder="0" applyAlignment="0" applyProtection="0"/>
    <xf numFmtId="9" fontId="5" fillId="0" borderId="0" applyFont="0" applyFill="0" applyBorder="0" applyAlignment="0" applyProtection="0"/>
    <xf numFmtId="0" fontId="4" fillId="0" borderId="0"/>
    <xf numFmtId="0" fontId="2" fillId="0" borderId="0"/>
  </cellStyleXfs>
  <cellXfs count="75">
    <xf numFmtId="0" fontId="0" fillId="0" borderId="0" xfId="0"/>
    <xf numFmtId="0" fontId="8"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10" fillId="2" borderId="0" xfId="0" applyFont="1" applyFill="1"/>
    <xf numFmtId="0" fontId="10" fillId="2" borderId="11" xfId="0" applyFont="1" applyFill="1" applyBorder="1"/>
    <xf numFmtId="0" fontId="11" fillId="0" borderId="0" xfId="0" applyFont="1"/>
    <xf numFmtId="0" fontId="11" fillId="0" borderId="14" xfId="0" applyFont="1" applyBorder="1"/>
    <xf numFmtId="0" fontId="0" fillId="0" borderId="15" xfId="0" applyBorder="1"/>
    <xf numFmtId="0" fontId="10" fillId="2" borderId="18" xfId="0" applyFont="1" applyFill="1" applyBorder="1"/>
    <xf numFmtId="43" fontId="11" fillId="0" borderId="5" xfId="1" applyFont="1" applyBorder="1"/>
    <xf numFmtId="43" fontId="11" fillId="0" borderId="10" xfId="1" applyFont="1" applyBorder="1"/>
    <xf numFmtId="43" fontId="11" fillId="0" borderId="19" xfId="1" applyFont="1" applyBorder="1"/>
    <xf numFmtId="43" fontId="11" fillId="0" borderId="0" xfId="1" applyFont="1" applyBorder="1"/>
    <xf numFmtId="43" fontId="11" fillId="0" borderId="11" xfId="1" applyFont="1" applyBorder="1"/>
    <xf numFmtId="43" fontId="11" fillId="0" borderId="18" xfId="1" applyFont="1" applyBorder="1"/>
    <xf numFmtId="164" fontId="11" fillId="0" borderId="5" xfId="0" applyNumberFormat="1" applyFont="1" applyBorder="1" applyAlignment="1">
      <alignment horizontal="left"/>
    </xf>
    <xf numFmtId="164" fontId="11" fillId="0" borderId="0" xfId="0" applyNumberFormat="1" applyFont="1" applyAlignment="1">
      <alignment horizontal="left"/>
    </xf>
    <xf numFmtId="43" fontId="0" fillId="0" borderId="0" xfId="1" applyFont="1"/>
    <xf numFmtId="43" fontId="11" fillId="0" borderId="13" xfId="1" applyFont="1" applyBorder="1"/>
    <xf numFmtId="43" fontId="0" fillId="0" borderId="0" xfId="0" applyNumberFormat="1"/>
    <xf numFmtId="0" fontId="0" fillId="0" borderId="22" xfId="0" applyBorder="1"/>
    <xf numFmtId="43" fontId="0" fillId="0" borderId="15" xfId="0" applyNumberFormat="1" applyBorder="1"/>
    <xf numFmtId="43" fontId="0" fillId="0" borderId="16" xfId="0" applyNumberFormat="1" applyBorder="1"/>
    <xf numFmtId="43" fontId="0" fillId="0" borderId="20" xfId="0" applyNumberFormat="1" applyBorder="1"/>
    <xf numFmtId="14" fontId="0" fillId="0" borderId="0" xfId="0" applyNumberFormat="1"/>
    <xf numFmtId="43" fontId="0" fillId="0" borderId="13" xfId="1" applyFont="1" applyBorder="1"/>
    <xf numFmtId="43" fontId="0" fillId="0" borderId="0" xfId="1" applyFont="1" applyBorder="1"/>
    <xf numFmtId="0" fontId="10" fillId="2" borderId="4" xfId="0" applyFont="1" applyFill="1" applyBorder="1"/>
    <xf numFmtId="0" fontId="10" fillId="2" borderId="5" xfId="0" applyFont="1" applyFill="1" applyBorder="1"/>
    <xf numFmtId="0" fontId="10" fillId="2" borderId="6" xfId="0" applyFont="1" applyFill="1" applyBorder="1"/>
    <xf numFmtId="0" fontId="0" fillId="0" borderId="0" xfId="0" applyAlignment="1">
      <alignment horizontal="center"/>
    </xf>
    <xf numFmtId="0" fontId="0" fillId="0" borderId="0" xfId="0" applyAlignment="1">
      <alignment horizontal="center" wrapText="1"/>
    </xf>
    <xf numFmtId="14" fontId="0" fillId="0" borderId="17" xfId="0" applyNumberFormat="1" applyBorder="1"/>
    <xf numFmtId="43" fontId="0" fillId="0" borderId="17" xfId="1" applyFont="1" applyBorder="1"/>
    <xf numFmtId="165" fontId="0" fillId="0" borderId="0" xfId="0" applyNumberFormat="1"/>
    <xf numFmtId="0" fontId="0" fillId="0" borderId="0" xfId="0">
      <extLst>
        <ext xmlns:xfpb="http://schemas.microsoft.com/office/spreadsheetml/2022/featurepropertybag" uri="{C7286773-470A-42A8-94C5-96B5CB345126}">
          <xfpb:xfComplement i="0"/>
        </ext>
      </extLst>
    </xf>
    <xf numFmtId="43" fontId="0" fillId="0" borderId="5" xfId="1" applyFont="1" applyBorder="1"/>
    <xf numFmtId="9" fontId="0" fillId="0" borderId="5" xfId="2" applyFont="1" applyBorder="1"/>
    <xf numFmtId="0" fontId="10" fillId="2" borderId="0" xfId="0" applyFont="1" applyFill="1" applyAlignment="1">
      <alignment horizontal="center"/>
    </xf>
    <xf numFmtId="0" fontId="10" fillId="2" borderId="24" xfId="0" applyFont="1" applyFill="1" applyBorder="1" applyAlignment="1">
      <alignment horizontal="center"/>
    </xf>
    <xf numFmtId="0" fontId="0" fillId="0" borderId="0" xfId="0" applyAlignment="1">
      <alignment horizontal="center"/>
      <extLst>
        <ext xmlns:xfpb="http://schemas.microsoft.com/office/spreadsheetml/2022/featurepropertybag" uri="{C7286773-470A-42A8-94C5-96B5CB345126}">
          <xfpb:xfComplement i="0"/>
        </ext>
      </extLst>
    </xf>
    <xf numFmtId="165" fontId="0" fillId="0" borderId="5" xfId="0" applyNumberFormat="1" applyBorder="1"/>
    <xf numFmtId="43" fontId="0" fillId="0" borderId="23" xfId="1" applyFont="1" applyFill="1" applyBorder="1"/>
    <xf numFmtId="0" fontId="0" fillId="0" borderId="23" xfId="0" applyBorder="1"/>
    <xf numFmtId="0" fontId="0" fillId="0" borderId="23" xfId="0" applyBorder="1">
      <extLst>
        <ext xmlns:xfpb="http://schemas.microsoft.com/office/spreadsheetml/2022/featurepropertybag" uri="{C7286773-470A-42A8-94C5-96B5CB345126}">
          <xfpb:xfComplement i="0"/>
        </ext>
      </extLst>
    </xf>
    <xf numFmtId="165" fontId="0" fillId="0" borderId="12" xfId="0" applyNumberFormat="1" applyBorder="1"/>
    <xf numFmtId="43" fontId="0" fillId="0" borderId="0" xfId="1" applyFont="1" applyFill="1" applyBorder="1"/>
    <xf numFmtId="0" fontId="0" fillId="0" borderId="21" xfId="0" applyBorder="1"/>
    <xf numFmtId="165" fontId="0" fillId="0" borderId="1" xfId="0" applyNumberFormat="1" applyBorder="1"/>
    <xf numFmtId="43" fontId="0" fillId="0" borderId="2" xfId="1" applyFont="1" applyFill="1" applyBorder="1"/>
    <xf numFmtId="0" fontId="4" fillId="0" borderId="0" xfId="3"/>
    <xf numFmtId="0" fontId="6" fillId="0" borderId="0" xfId="3" applyFont="1"/>
    <xf numFmtId="0" fontId="8" fillId="0" borderId="0" xfId="3" applyFont="1"/>
    <xf numFmtId="0" fontId="0" fillId="0" borderId="8" xfId="0" applyBorder="1"/>
    <xf numFmtId="43" fontId="0" fillId="0" borderId="7" xfId="0" applyNumberFormat="1" applyBorder="1"/>
    <xf numFmtId="43" fontId="11" fillId="0" borderId="25" xfId="1" applyFont="1" applyBorder="1"/>
    <xf numFmtId="0" fontId="3" fillId="0" borderId="0" xfId="3" applyFont="1"/>
    <xf numFmtId="0" fontId="7" fillId="0" borderId="0" xfId="0" applyFont="1"/>
    <xf numFmtId="0" fontId="7" fillId="0" borderId="0" xfId="3" applyFont="1"/>
    <xf numFmtId="0" fontId="13" fillId="0" borderId="0" xfId="4" applyFont="1" applyAlignment="1">
      <alignment vertical="center"/>
    </xf>
    <xf numFmtId="0" fontId="11" fillId="0" borderId="0" xfId="4" applyFont="1" applyAlignment="1">
      <alignment horizontal="center" vertical="center"/>
    </xf>
    <xf numFmtId="0" fontId="11" fillId="0" borderId="0" xfId="4" applyFont="1" applyAlignment="1">
      <alignment horizontal="center"/>
    </xf>
    <xf numFmtId="0" fontId="2" fillId="0" borderId="0" xfId="4"/>
    <xf numFmtId="0" fontId="11" fillId="0" borderId="0" xfId="4" applyFont="1" applyAlignment="1">
      <alignment horizontal="left"/>
    </xf>
    <xf numFmtId="0" fontId="2" fillId="0" borderId="0" xfId="4" applyAlignment="1">
      <alignment horizontal="center" vertical="center"/>
    </xf>
    <xf numFmtId="0" fontId="13" fillId="0" borderId="0" xfId="4" applyFont="1" applyAlignment="1">
      <alignment horizontal="center" vertical="center"/>
    </xf>
    <xf numFmtId="0" fontId="2" fillId="0" borderId="0" xfId="4" applyAlignment="1">
      <alignment horizontal="center"/>
    </xf>
    <xf numFmtId="0" fontId="1" fillId="0" borderId="0" xfId="3" applyFont="1"/>
    <xf numFmtId="0" fontId="8" fillId="0" borderId="0" xfId="0" applyFont="1"/>
  </cellXfs>
  <cellStyles count="5">
    <cellStyle name="Comma" xfId="1" builtinId="3"/>
    <cellStyle name="Normal" xfId="0" builtinId="0" customBuiltin="1"/>
    <cellStyle name="Normal 2" xfId="3" xr:uid="{ED0FB685-6E94-4FB3-844E-994C176CF3E9}"/>
    <cellStyle name="Normal 3" xfId="4" xr:uid="{4B6321DB-3EDB-463B-AA68-FA01CE4C70F7}"/>
    <cellStyle name="Percent" xfId="2" builtinId="5"/>
  </cellStyles>
  <dxfs count="71">
    <dxf>
      <numFmt numFmtId="0" formatCode="General"/>
    </dxf>
    <dxf>
      <numFmt numFmtId="0" formatCode="General"/>
    </dxf>
    <dxf>
      <numFmt numFmtId="165" formatCode="mm/dd/yy;@"/>
    </dxf>
    <dxf>
      <numFmt numFmtId="165" formatCode="mm/dd/yy;@"/>
    </dxf>
    <dxf>
      <numFmt numFmtId="165" formatCode="mm/dd/yy;@"/>
    </dxf>
    <dxf>
      <numFmt numFmtId="165" formatCode="mm/dd/yy;@"/>
    </dxf>
    <dxf>
      <numFmt numFmtId="165" formatCode="mm/dd/yy;@"/>
    </dxf>
    <dxf>
      <numFmt numFmtId="165" formatCode="mm/dd/yy;@"/>
    </dxf>
    <dxf>
      <numFmt numFmtId="165" formatCode="mm/dd/yy;@"/>
    </dxf>
    <dxf>
      <numFmt numFmtId="165" formatCode="mm/dd/yy;@"/>
    </dxf>
    <dxf>
      <numFmt numFmtId="0" formatCode="General"/>
    </dxf>
    <dxf>
      <numFmt numFmtId="165" formatCode="mm/dd/yy;@"/>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outline="0">
        <left style="thin">
          <color theme="1"/>
        </left>
        <right style="thin">
          <color theme="1"/>
        </right>
        <top style="thin">
          <color theme="1"/>
        </top>
        <bottom style="thin">
          <color theme="1"/>
        </bottom>
      </border>
    </dxf>
    <dxf>
      <fill>
        <patternFill patternType="none">
          <bgColor auto="1"/>
        </patternFill>
      </fill>
    </dxf>
    <dxf>
      <font>
        <b/>
        <i val="0"/>
        <strike val="0"/>
        <condense val="0"/>
        <extend val="0"/>
        <outline val="0"/>
        <shadow val="0"/>
        <u val="none"/>
        <vertAlign val="baseline"/>
        <sz val="11"/>
        <color theme="0"/>
        <name val="Consolas"/>
        <family val="3"/>
        <scheme val="none"/>
      </font>
      <fill>
        <patternFill patternType="solid">
          <fgColor theme="1"/>
          <bgColor theme="1"/>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35" formatCode="_(* #,##0.00_);_(* \(#,##0.00\);_(* &quot;-&quot;??_);_(@_)"/>
    </dxf>
    <dxf>
      <alignment horizontal="center" vertical="bottom" textRotation="0" wrapText="1" indent="0" justifyLastLine="0" shrinkToFit="0" readingOrder="0"/>
    </dxf>
    <dxf>
      <numFmt numFmtId="35" formatCode="_(* #,##0.00_);_(* \(#,##0.00\);_(* &quot;-&quot;??_);_(@_)"/>
    </dxf>
    <dxf>
      <numFmt numFmtId="35" formatCode="_(* #,##0.00_);_(* \(#,##0.00\);_(* &quot;-&quot;??_);_(@_)"/>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numFmt numFmtId="35" formatCode="_(* #,##0.00_);_(* \(#,##0.00\);_(* &quot;-&quot;??_);_(@_)"/>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alignment horizontal="center" vertical="bottom" textRotation="0" wrapText="1" indent="0" justifyLastLine="0" shrinkToFit="0" readingOrder="0"/>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dxf>
    <dxf>
      <numFmt numFmtId="35" formatCode="_(* #,##0.00_);_(* \(#,##0.00\);_(* &quot;-&quot;??_);_(@_)"/>
    </dxf>
    <dxf>
      <alignment horizontal="center" vertical="bottom" textRotation="0" wrapText="1" indent="0" justifyLastLine="0" shrinkToFit="0" readingOrder="0"/>
    </dxf>
    <dxf>
      <border diagonalUp="0" diagonalDown="0" outline="0">
        <left/>
        <right/>
        <top style="thin">
          <color indexed="64"/>
        </top>
        <bottom/>
      </border>
    </dxf>
    <dxf>
      <numFmt numFmtId="35" formatCode="_(* #,##0.00_);_(* \(#,##0.00\);_(* &quot;-&quot;??_);_(@_)"/>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style="medium">
          <color indexed="64"/>
        </left>
        <right style="medium">
          <color indexed="64"/>
        </right>
        <top style="thin">
          <color indexed="64"/>
        </top>
        <bottom style="double">
          <color indexed="64"/>
        </bottom>
      </border>
    </dxf>
    <dxf>
      <font>
        <strike val="0"/>
        <outline val="0"/>
        <shadow val="0"/>
        <u val="none"/>
        <vertAlign val="baseline"/>
        <sz val="11"/>
        <name val="Consolas"/>
        <family val="3"/>
        <scheme val="none"/>
      </font>
      <border diagonalUp="0" diagonalDown="0">
        <left style="medium">
          <color indexed="64"/>
        </left>
        <right style="medium">
          <color indexed="64"/>
        </right>
        <top/>
        <bottom/>
        <vertical/>
      </border>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style="thin">
          <color indexed="64"/>
        </left>
        <right/>
        <top style="thin">
          <color indexed="64"/>
        </top>
        <bottom style="double">
          <color indexed="64"/>
        </bottom>
      </border>
    </dxf>
    <dxf>
      <font>
        <strike val="0"/>
        <outline val="0"/>
        <shadow val="0"/>
        <u val="none"/>
        <vertAlign val="baseline"/>
        <sz val="11"/>
        <name val="Consolas"/>
        <family val="3"/>
        <scheme val="none"/>
      </font>
      <border diagonalUp="0" diagonalDown="0" outline="0">
        <left style="thin">
          <color indexed="64"/>
        </left>
        <right/>
        <top/>
        <bottom/>
      </border>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right/>
        <top style="thin">
          <color indexed="64"/>
        </top>
        <bottom style="double">
          <color indexed="64"/>
        </bottom>
      </border>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style="thin">
          <color indexed="64"/>
        </left>
        <right/>
        <top style="thin">
          <color indexed="64"/>
        </top>
        <bottom style="double">
          <color indexed="64"/>
        </bottom>
      </border>
    </dxf>
    <dxf>
      <font>
        <strike val="0"/>
        <outline val="0"/>
        <shadow val="0"/>
        <u val="none"/>
        <vertAlign val="baseline"/>
        <sz val="11"/>
        <name val="Consolas"/>
        <family val="3"/>
        <scheme val="none"/>
      </font>
      <numFmt numFmtId="35" formatCode="_(* #,##0.00_);_(* \(#,##0.00\);_(* &quot;-&quot;??_);_(@_)"/>
      <border diagonalUp="0" diagonalDown="0">
        <left style="thin">
          <color indexed="64"/>
        </left>
        <right/>
        <top/>
        <bottom/>
      </border>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right/>
        <top style="thin">
          <color indexed="64"/>
        </top>
        <bottom style="double">
          <color indexed="64"/>
        </bottom>
      </border>
    </dxf>
    <dxf>
      <font>
        <strike val="0"/>
        <outline val="0"/>
        <shadow val="0"/>
        <u val="none"/>
        <vertAlign val="baseline"/>
        <sz val="11"/>
        <name val="Consolas"/>
        <family val="3"/>
        <scheme val="none"/>
      </font>
      <numFmt numFmtId="35" formatCode="_(* #,##0.00_);_(* \(#,##0.00\);_(* &quot;-&quot;??_);_(@_)"/>
    </dxf>
    <dxf>
      <font>
        <b val="0"/>
        <i val="0"/>
        <strike val="0"/>
        <condense val="0"/>
        <extend val="0"/>
        <outline val="0"/>
        <shadow val="0"/>
        <u val="none"/>
        <vertAlign val="baseline"/>
        <sz val="11"/>
        <color theme="1"/>
        <name val="Consolas"/>
        <family val="3"/>
        <scheme val="none"/>
      </font>
      <border diagonalUp="0" diagonalDown="0" outline="0">
        <left/>
        <right/>
        <top style="thin">
          <color indexed="64"/>
        </top>
        <bottom style="double">
          <color indexed="64"/>
        </bottom>
      </border>
    </dxf>
    <dxf>
      <font>
        <b val="0"/>
        <i val="0"/>
        <strike val="0"/>
        <condense val="0"/>
        <extend val="0"/>
        <outline val="0"/>
        <shadow val="0"/>
        <u val="none"/>
        <vertAlign val="baseline"/>
        <sz val="11"/>
        <color theme="1"/>
        <name val="Consolas"/>
        <family val="3"/>
        <scheme val="none"/>
      </font>
      <numFmt numFmtId="164" formatCode="mmm\ yy"/>
      <alignment horizontal="left" vertical="bottom" textRotation="0" wrapText="0" indent="0" justifyLastLine="0" shrinkToFit="0" readingOrder="0"/>
    </dxf>
    <dxf>
      <border>
        <top style="thin">
          <color indexed="64"/>
        </top>
      </border>
    </dxf>
    <dxf>
      <border outline="0">
        <left style="medium">
          <color indexed="64"/>
        </left>
        <right style="double">
          <color indexed="64"/>
        </right>
        <top style="medium">
          <color indexed="64"/>
        </top>
        <bottom style="medium">
          <color indexed="64"/>
        </bottom>
      </border>
    </dxf>
    <dxf>
      <font>
        <strike val="0"/>
        <outline val="0"/>
        <shadow val="0"/>
        <u val="none"/>
        <vertAlign val="baseline"/>
        <sz val="11"/>
        <name val="Consolas"/>
        <family val="3"/>
        <scheme val="none"/>
      </font>
    </dxf>
    <dxf>
      <font>
        <b val="0"/>
        <i val="0"/>
        <strike val="0"/>
        <condense val="0"/>
        <extend val="0"/>
        <outline val="0"/>
        <shadow val="0"/>
        <u val="none"/>
        <vertAlign val="baseline"/>
        <sz val="11"/>
        <color theme="1"/>
        <name val="Consolas"/>
        <family val="3"/>
        <scheme val="none"/>
      </font>
      <border diagonalUp="0" diagonalDown="0" outline="0">
        <left/>
        <right style="medium">
          <color indexed="64"/>
        </right>
        <top/>
        <bottom style="medium">
          <color indexed="64"/>
        </bottom>
      </border>
    </dxf>
    <dxf>
      <font>
        <strike val="0"/>
        <outline val="0"/>
        <shadow val="0"/>
        <u val="none"/>
        <vertAlign val="baseline"/>
        <sz val="11"/>
        <color theme="1"/>
        <name val="Consolas"/>
        <family val="3"/>
        <scheme val="none"/>
      </font>
      <border diagonalUp="0" diagonalDown="0">
        <left/>
        <right style="medium">
          <color indexed="64"/>
        </right>
        <top/>
        <bottom/>
        <vertical/>
        <horizontal/>
      </border>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right/>
        <top/>
        <bottom style="medium">
          <color indexed="64"/>
        </bottom>
      </border>
    </dxf>
    <dxf>
      <font>
        <strike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right/>
        <top/>
        <bottom style="medium">
          <color indexed="64"/>
        </bottom>
      </border>
    </dxf>
    <dxf>
      <font>
        <strike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numFmt numFmtId="35" formatCode="_(* #,##0.00_);_(* \(#,##0.00\);_(* &quot;-&quot;??_);_(@_)"/>
      <border diagonalUp="0" diagonalDown="0" outline="0">
        <left/>
        <right/>
        <top/>
        <bottom style="medium">
          <color indexed="64"/>
        </bottom>
      </border>
    </dxf>
    <dxf>
      <font>
        <strike val="0"/>
        <outline val="0"/>
        <shadow val="0"/>
        <u val="none"/>
        <vertAlign val="baseline"/>
        <sz val="11"/>
        <color theme="1"/>
        <name val="Consolas"/>
        <family val="3"/>
        <scheme val="none"/>
      </font>
    </dxf>
    <dxf>
      <font>
        <b val="0"/>
        <i val="0"/>
        <strike val="0"/>
        <condense val="0"/>
        <extend val="0"/>
        <outline val="0"/>
        <shadow val="0"/>
        <u val="none"/>
        <vertAlign val="baseline"/>
        <sz val="11"/>
        <color theme="1"/>
        <name val="Consolas"/>
        <family val="3"/>
        <scheme val="none"/>
      </font>
      <border diagonalUp="0" diagonalDown="0" outline="0">
        <left style="medium">
          <color indexed="64"/>
        </left>
        <right/>
        <top/>
        <bottom style="medium">
          <color indexed="64"/>
        </bottom>
      </border>
    </dxf>
    <dxf>
      <font>
        <strike val="0"/>
        <outline val="0"/>
        <shadow val="0"/>
        <u val="none"/>
        <vertAlign val="baseline"/>
        <sz val="11"/>
        <color theme="1"/>
        <name val="Consolas"/>
        <family val="3"/>
        <scheme val="none"/>
      </font>
      <border diagonalUp="0" diagonalDown="0">
        <left style="medium">
          <color indexed="64"/>
        </left>
        <right/>
        <top/>
        <bottom/>
        <vertical/>
        <horizontal/>
      </border>
    </dxf>
    <dxf>
      <border>
        <top style="medium">
          <color indexed="64"/>
        </top>
      </border>
    </dxf>
    <dxf>
      <font>
        <strike val="0"/>
        <outline val="0"/>
        <shadow val="0"/>
        <u val="none"/>
        <vertAlign val="baseline"/>
        <sz val="11"/>
        <color theme="1"/>
        <name val="Consolas"/>
        <family val="3"/>
        <scheme val="none"/>
      </font>
    </dxf>
    <dxf>
      <font>
        <strike val="0"/>
        <outline val="0"/>
        <shadow val="0"/>
        <u val="none"/>
        <vertAlign val="baseline"/>
        <sz val="11"/>
        <color theme="1"/>
        <name val="Consolas"/>
        <family val="3"/>
        <scheme val="none"/>
      </font>
    </dxf>
    <dxf>
      <font>
        <strike val="0"/>
        <outline val="0"/>
        <shadow val="0"/>
        <u val="none"/>
        <vertAlign val="baseline"/>
        <sz val="11"/>
        <color theme="1"/>
        <name val="Consolas"/>
        <family val="3"/>
        <scheme val="none"/>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22/11/relationships/FeaturePropertyBag" Target="featurePropertyBag/feature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Planned vs Actual Spending</a:t>
            </a:r>
          </a:p>
        </c:rich>
      </c:tx>
      <c:overlay val="1"/>
    </c:title>
    <c:autoTitleDeleted val="0"/>
    <c:plotArea>
      <c:layout/>
      <c:barChart>
        <c:barDir val="col"/>
        <c:grouping val="clustered"/>
        <c:varyColors val="1"/>
        <c:ser>
          <c:idx val="0"/>
          <c:order val="0"/>
          <c:tx>
            <c:strRef>
              <c:f>Dashboard!$C$6</c:f>
              <c:strCache>
                <c:ptCount val="1"/>
                <c:pt idx="0">
                  <c:v>Planned Amount</c:v>
                </c:pt>
              </c:strCache>
            </c:strRef>
          </c:tx>
          <c:spPr>
            <a:ln>
              <a:prstDash val="solid"/>
            </a:ln>
          </c:spPr>
          <c:invertIfNegative val="1"/>
          <c:cat>
            <c:strRef>
              <c:f>Dashboard!$B$7:$B$11</c:f>
              <c:strCache>
                <c:ptCount val="5"/>
                <c:pt idx="0">
                  <c:v>Fixed Expenses</c:v>
                </c:pt>
                <c:pt idx="1">
                  <c:v>Min. Debt Payments</c:v>
                </c:pt>
                <c:pt idx="2">
                  <c:v>CC Spending</c:v>
                </c:pt>
                <c:pt idx="3">
                  <c:v>Extra Debt Repayment</c:v>
                </c:pt>
                <c:pt idx="4">
                  <c:v>Emergency Buffer/Savings</c:v>
                </c:pt>
              </c:strCache>
            </c:strRef>
          </c:cat>
          <c:val>
            <c:numRef>
              <c:f>Dashboard!$C$7:$C$11</c:f>
              <c:numCache>
                <c:formatCode>General</c:formatCode>
                <c:ptCount val="5"/>
                <c:pt idx="0">
                  <c:v>6922.5</c:v>
                </c:pt>
                <c:pt idx="1">
                  <c:v>556.82100000000003</c:v>
                </c:pt>
                <c:pt idx="2">
                  <c:v>2227.2840000000001</c:v>
                </c:pt>
                <c:pt idx="3">
                  <c:v>779.54940000000011</c:v>
                </c:pt>
                <c:pt idx="4">
                  <c:v>54.920000000000073</c:v>
                </c:pt>
              </c:numCache>
            </c:numRef>
          </c:val>
          <c:extLst>
            <c:ext xmlns:c16="http://schemas.microsoft.com/office/drawing/2014/chart" uri="{C3380CC4-5D6E-409C-BE32-E72D297353CC}">
              <c16:uniqueId val="{00000000-9752-47CE-940A-21F4B12BB675}"/>
            </c:ext>
          </c:extLst>
        </c:ser>
        <c:ser>
          <c:idx val="1"/>
          <c:order val="1"/>
          <c:tx>
            <c:strRef>
              <c:f>Dashboard!$D$6</c:f>
              <c:strCache>
                <c:ptCount val="1"/>
                <c:pt idx="0">
                  <c:v>Actual Amount</c:v>
                </c:pt>
              </c:strCache>
            </c:strRef>
          </c:tx>
          <c:spPr>
            <a:ln>
              <a:prstDash val="solid"/>
            </a:ln>
          </c:spPr>
          <c:invertIfNegative val="1"/>
          <c:cat>
            <c:strRef>
              <c:f>Dashboard!$B$7:$B$11</c:f>
              <c:strCache>
                <c:ptCount val="5"/>
                <c:pt idx="0">
                  <c:v>Fixed Expenses</c:v>
                </c:pt>
                <c:pt idx="1">
                  <c:v>Min. Debt Payments</c:v>
                </c:pt>
                <c:pt idx="2">
                  <c:v>CC Spending</c:v>
                </c:pt>
                <c:pt idx="3">
                  <c:v>Extra Debt Repayment</c:v>
                </c:pt>
                <c:pt idx="4">
                  <c:v>Emergency Buffer/Savings</c:v>
                </c:pt>
              </c:strCache>
            </c:strRef>
          </c:cat>
          <c:val>
            <c:numRef>
              <c:f>Dashboard!$D$7:$D$11</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9752-47CE-940A-21F4B12BB675}"/>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numFmt formatCode="General" sourceLinked="1"/>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5</xdr:col>
      <xdr:colOff>0</xdr:colOff>
      <xdr:row>9</xdr:row>
      <xdr:rowOff>0</xdr:rowOff>
    </xdr:from>
    <xdr:ext cx="5400000" cy="2700000"/>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NET SURPLUS (DEFICIT)</v>
    <v>2</v>
    <v>4</v>
    <v>5</v>
  </rv>
</rvData>
</file>

<file path=xl/richData/rdrichvaluestructure.xml><?xml version="1.0" encoding="utf-8"?>
<rvStructures xmlns="http://schemas.microsoft.com/office/spreadsheetml/2017/richdata" count="1">
  <s t="_error">
    <k n="argument" t="s"/>
    <k n="errorType" t="i"/>
    <k n="ptg"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629D-7FBD-4AB1-818A-B13790B2477F}" name="CATEGORY" displayName="CATEGORY" ref="B6:F12" totalsRowCount="1" headerRowDxfId="70" dataDxfId="69" totalsRowDxfId="68" totalsRowBorderDxfId="67">
  <autoFilter ref="B6:F11" xr:uid="{95CC629D-7FBD-4AB1-818A-B13790B2477F}">
    <filterColumn colId="0" hiddenButton="1"/>
    <filterColumn colId="1" hiddenButton="1"/>
    <filterColumn colId="2" hiddenButton="1"/>
    <filterColumn colId="3" hiddenButton="1"/>
    <filterColumn colId="4" hiddenButton="1"/>
  </autoFilter>
  <tableColumns count="5">
    <tableColumn id="1" xr3:uid="{9B0AD862-015F-4B73-9E07-182D4CAD1F89}" name="CATEGORY" totalsRowLabel="TOTAL" dataDxfId="66" totalsRowDxfId="65"/>
    <tableColumn id="2" xr3:uid="{E29BC3C2-01FA-444D-A73D-7A5F49537EA9}" name="BUDGETED" dataDxfId="64" totalsRowDxfId="63" dataCellStyle="Comma"/>
    <tableColumn id="3" xr3:uid="{3F75345A-847A-4A32-95DF-A98BB8BFADF5}" name="ACTUAL" dataDxfId="62" totalsRowDxfId="61" dataCellStyle="Comma"/>
    <tableColumn id="4" xr3:uid="{BFF71C97-77E4-42A6-811D-0047F9BA72C8}" name="VARIANCE" dataDxfId="60" totalsRowDxfId="59" dataCellStyle="Comma">
      <calculatedColumnFormula>CATEGORY[[#This Row],[ACTUAL]]-CATEGORY[[#This Row],[BUDGETED]]</calculatedColumnFormula>
    </tableColumn>
    <tableColumn id="5" xr3:uid="{C148EBFD-91BF-4F45-B378-BAB71E7E225E}" name="CONDITION" totalsRowFunction="count" dataDxfId="58" totalsRowDxfId="57">
      <calculatedColumnFormula>IF(CATEGORY[[#This Row],[VARIANCE]]&gt;=0,"U","F")</calculatedColumnFormula>
    </tableColumn>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1675B30-BD78-4FB4-99AC-E87D6CFDD634}" name="Assumptions" displayName="Assumptions" ref="B8:C15" totalsRowShown="0">
  <autoFilter ref="B8:C15" xr:uid="{8A04B92F-E7C0-4A96-89CF-C7F4D2AD233B}"/>
  <tableColumns count="2">
    <tableColumn id="1" xr3:uid="{121A466F-2F92-414D-940C-7C3795A9E6EE}" name="Parameter"/>
    <tableColumn id="2" xr3:uid="{856E1C87-B246-4419-A1D0-8A01892A2320}" name="Valu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3C9F3E3-D4F0-482C-92BE-20FDA4A42C45}" name="SCFmonthly" displayName="SCFmonthly" ref="B6:H19" totalsRowCount="1" headerRowDxfId="56" tableBorderDxfId="55" totalsRowBorderDxfId="54">
  <autoFilter ref="B6:H18" xr:uid="{B3C9F3E3-D4F0-482C-92BE-20FDA4A42C4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C099BAD3-4E1D-4DBD-A5C1-73E97090D7EA}" name="MONTH" totalsRowLabel="Total" dataDxfId="53" totalsRowDxfId="52">
      <calculatedColumnFormula>UPPER(TEXT(DATE(2025,ROW()-1,1),"MMM YY"))</calculatedColumnFormula>
    </tableColumn>
    <tableColumn id="2" xr3:uid="{FBA51F87-6377-4A7E-A7C4-2D3FF9877F17}" name="NET INCOME" totalsRowFunction="sum" dataDxfId="51" totalsRowDxfId="50" dataCellStyle="Comma">
      <calculatedColumnFormula>SUMIF(ALLOCATION[[#All],[PAY DATE]],SCFmonthly[[#This Row],[MONTH]],ALLOCATION[[#All],[NET PAY]])</calculatedColumnFormula>
    </tableColumn>
    <tableColumn id="3" xr3:uid="{9F48A46B-F913-49ED-ACB4-45510C70D382}" name="FIXED OBLIGATIONS" totalsRowFunction="sum" dataDxfId="49" totalsRowDxfId="48" dataCellStyle="Comma">
      <calculatedColumnFormula>SUMIF(ALLOCATION[[#All],[PAY DATE]],MONTH(SCFmonthly[[#This Row],[MONTH]]),ALLOCATION[[#All],[FIXED OBLIGATIONS]])</calculatedColumnFormula>
    </tableColumn>
    <tableColumn id="4" xr3:uid="{EFEA2FC4-8EF1-4B65-BAE7-3FFFE5A1FB2A}" name="CREDIT ALLOWANCE" totalsRowFunction="sum" dataDxfId="47" totalsRowDxfId="46" dataCellStyle="Comma"/>
    <tableColumn id="5" xr3:uid="{40DF6979-0F78-4998-9C68-0897A7C1204D}" name="TOTAL EXPENSES" totalsRowFunction="sum" dataDxfId="45" totalsRowDxfId="44" dataCellStyle="Comma"/>
    <tableColumn id="6" xr3:uid="{C3B9EF93-094D-4339-BD9A-6E959487751B}" name="NET SURPLUS (DEFICIT)" totalsRowFunction="sum" dataDxfId="43" totalsRowDxfId="42" dataCellStyle="Comma"/>
    <tableColumn id="7" xr3:uid="{82B1BA44-FCEA-4811-8E94-9C0C2578465F}" name="Monthly Change" dataDxfId="41" totalsRowDxfId="40">
      <calculatedColumnFormula>SCFmonthly[[#This Row],[NET SURPLUS (DEFICIT)]]-OFFSET(SCFmonthly[[#This Row],[NET SURPLUS (DEFICIT)]],-1,0)</calculatedColumnFormula>
    </tableColumn>
  </tableColumns>
  <tableStyleInfo name="TableStyleLight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757F2F9-8855-448A-8C64-708BB6F78134}" name="Variance" displayName="Variance" ref="B8:F22" totalsRowShown="0">
  <autoFilter ref="B8:F22" xr:uid="{14B0AECF-3E0D-4B80-993C-0B706B7D0345}"/>
  <tableColumns count="5">
    <tableColumn id="1" xr3:uid="{BD454C21-549F-4EE0-A39D-368AA26E91D0}" name="Category"/>
    <tableColumn id="2" xr3:uid="{E1E7CF8B-A479-490B-8535-830B11137CDF}" name="Budgeted Amount"/>
    <tableColumn id="3" xr3:uid="{A3637A56-A5D5-4A01-8771-E8A73E2CF230}" name="Actual Amount"/>
    <tableColumn id="4" xr3:uid="{11E0D3BF-D3B4-40F5-92DD-AA2D1307F8E8}" name="Variance"/>
    <tableColumn id="5" xr3:uid="{745FBD83-904C-4A5C-81C4-318F5A94ED6F}" name="Comment"/>
  </tableColumns>
  <tableStyleInfo name="TableStyleMedium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220AC69-823F-43F8-9179-1AB175B33842}" name="ALLOCATIONACTUAL" displayName="ALLOCATIONACTUAL" ref="B6:N50" totalsRowShown="0" headerRowDxfId="39">
  <autoFilter ref="B6:N50" xr:uid="{2D1FCA3C-5552-4930-8E30-6C86463B7C0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EC5A08F9-65A0-4031-B832-183DD7D433FC}" name="PAY DATE"/>
    <tableColumn id="2" xr3:uid="{309FF210-91F8-4EB7-B04B-E62C7E9EA4E2}" name="NET PAY" dataCellStyle="Comma"/>
    <tableColumn id="3" xr3:uid="{BFE14DBE-8814-41C2-A538-E2055AB87513}" name="FIXED OBLIGATIONS" dataDxfId="38" dataCellStyle="Comma">
      <calculatedColumnFormula>SUBTOTAL(9,ALLOCATIONACTUAL[[#This Row],[RENT]:[DEBT EXT MIN]])</calculatedColumnFormula>
    </tableColumn>
    <tableColumn id="35" xr3:uid="{27A0B05C-CEBF-4D86-8F32-B4B139D809AF}" name="RENT" dataDxfId="37" dataCellStyle="Comma"/>
    <tableColumn id="36" xr3:uid="{4DCEF48B-2019-47A5-8298-92E593D552F3}" name="DAD" dataDxfId="36" dataCellStyle="Comma"/>
    <tableColumn id="37" xr3:uid="{8B12CCF0-46A9-4B01-8457-C4A5E3D5BA01}" name="TYLER" dataDxfId="35" dataCellStyle="Comma"/>
    <tableColumn id="38" xr3:uid="{C4D35C03-AF89-4B9A-9EAC-CF2FBA354047}" name="SELF" dataDxfId="34" dataCellStyle="Comma"/>
    <tableColumn id="4" xr3:uid="{D4A2A40E-F5D6-4BEF-BE01-C8F66C0506F5}" name="DEBT EXT MIN" dataCellStyle="Comma">
      <calculatedColumnFormula>C7*0.05</calculatedColumnFormula>
    </tableColumn>
    <tableColumn id="40" xr3:uid="{F58255E8-375D-41FA-A0CA-F4D9F902F4C1}" name="MCC" dataDxfId="33" dataCellStyle="Comma"/>
    <tableColumn id="41" xr3:uid="{9E9AC5EB-1CC1-4AE7-B90C-9A487B50FCAE}" name="VFB" dataDxfId="32" dataCellStyle="Comma"/>
    <tableColumn id="5" xr3:uid="{AA149B54-82B5-4506-83B3-AE281C856270}" name="ALLOCATED CREDIT USE" dataCellStyle="Comma">
      <calculatedColumnFormula>C7*0.2</calculatedColumnFormula>
    </tableColumn>
    <tableColumn id="6" xr3:uid="{8A3211C1-BCE9-4FD9-97CB-435491BC5A3E}" name="DEBT EXT EXTRA" dataCellStyle="Comma">
      <calculatedColumnFormula>C7*0.07</calculatedColumnFormula>
    </tableColumn>
    <tableColumn id="7" xr3:uid="{DD78D549-381E-4A4D-B5D3-36F4F60A19B4}" name="WORKING CAPITAL" dataCellStyle="Comma">
      <calculatedColumnFormula>C7*0.03</calculatedColumnFormula>
    </tableColumn>
  </tableColumns>
  <tableStyleInfo name="TableStyleLight8"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1FCA3C-5552-4930-8E30-6C86463B7C0C}" name="ALLOCATION" displayName="ALLOCATION" ref="B6:N50" totalsRowShown="0" headerRowDxfId="31">
  <autoFilter ref="B6:N50" xr:uid="{2D1FCA3C-5552-4930-8E30-6C86463B7C0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5BE752B-223A-422E-8F64-DF2D4108069C}" name="PAY DATE"/>
    <tableColumn id="2" xr3:uid="{70A98772-FE77-46FB-9E6C-5443DC619C69}" name="NET PAY" dataCellStyle="Comma"/>
    <tableColumn id="3" xr3:uid="{B00FD2C2-FC87-4409-AC4F-A0840294B409}" name="FIXED OBLIGATIONS" dataCellStyle="Comma">
      <calculatedColumnFormula>C7*0.65</calculatedColumnFormula>
    </tableColumn>
    <tableColumn id="37" xr3:uid="{DC2B6C50-5FBA-4FB8-AF34-9E64B8AF1576}" name="RENT" dataDxfId="30" dataCellStyle="Comma"/>
    <tableColumn id="38" xr3:uid="{EEE85ED6-AE1B-42B1-AA5C-0C90621C39AC}" name="DAD" dataDxfId="29" dataCellStyle="Comma"/>
    <tableColumn id="39" xr3:uid="{EE7C3444-6655-4E7C-8C2E-431EEB9994D2}" name="TYLER" dataDxfId="28" dataCellStyle="Comma"/>
    <tableColumn id="40" xr3:uid="{5065D2DE-CA51-412E-91E6-CA672935AACF}" name="SELF" dataDxfId="27" dataCellStyle="Comma"/>
    <tableColumn id="4" xr3:uid="{471A74CA-029A-486A-A424-944646BE92A3}" name="DEBT EXT MIN" dataDxfId="26" dataCellStyle="Comma">
      <calculatedColumnFormula>5%*ALLOCATION[[#This Row],[NET PAY]]</calculatedColumnFormula>
    </tableColumn>
    <tableColumn id="42" xr3:uid="{91151853-F6B8-4D1B-B2C7-723BE0B3D393}" name="MCC" dataDxfId="25" dataCellStyle="Comma"/>
    <tableColumn id="41" xr3:uid="{622DF95D-A7DC-4EFE-9E9C-1703C85309D7}" name="VFB" dataDxfId="24" dataCellStyle="Comma"/>
    <tableColumn id="5" xr3:uid="{899DA104-5C0A-4730-9935-8D221E620446}" name="ALLOCATED CREDIT USE" dataDxfId="23" dataCellStyle="Comma">
      <calculatedColumnFormula>20%*ALLOCATION[[#This Row],[NET PAY]]</calculatedColumnFormula>
    </tableColumn>
    <tableColumn id="6" xr3:uid="{CD464532-2B8F-4712-A0B0-199E33390413}" name="DEBT EXT EXTRA" dataDxfId="22" dataCellStyle="Comma">
      <calculatedColumnFormula>7%*ALLOCATION[[#This Row],[NET PAY]]</calculatedColumnFormula>
    </tableColumn>
    <tableColumn id="7" xr3:uid="{A34DB4F6-3343-40F4-9FC6-BE8625889E4D}" name="WORKING CAPITAL" dataCellStyle="Comma">
      <calculatedColumnFormula>C7*0.03</calculatedColumnFormula>
    </tableColumn>
  </tableColumns>
  <tableStyleInfo name="TableStyleLight8"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69A98F7E-0919-4E27-9B1D-BB5B9B407238}" name="ALLOCATION45" displayName="ALLOCATION45" ref="B6:H50" totalsRowShown="0" headerRowDxfId="21">
  <autoFilter ref="B6:H50" xr:uid="{2D1FCA3C-5552-4930-8E30-6C86463B7C0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BE691F1-21CB-4B44-86D9-05EA0491EF72}" name="PAY DATE"/>
    <tableColumn id="2" xr3:uid="{3E3B11F5-790F-45C0-950B-EC1D7FD0E070}" name="NET PAY" dataCellStyle="Comma"/>
    <tableColumn id="3" xr3:uid="{A3D77FE0-F8B6-4A17-A343-A16F406BFFDF}" name="FIXED OBLIGATIONS" dataCellStyle="Comma">
      <calculatedColumnFormula>C7*0.65</calculatedColumnFormula>
    </tableColumn>
    <tableColumn id="4" xr3:uid="{C5123A66-F35F-46F9-9A54-82BDA7D61150}" name="DEBT EXT MIN" dataCellStyle="Comma">
      <calculatedColumnFormula>C7*0.05</calculatedColumnFormula>
    </tableColumn>
    <tableColumn id="5" xr3:uid="{793F5B87-E9E9-4BD8-8935-BC68B8526163}" name="ALLOCATED CREDIT USE" dataDxfId="20" dataCellStyle="Comma">
      <calculatedColumnFormula>C7*0.2</calculatedColumnFormula>
    </tableColumn>
    <tableColumn id="6" xr3:uid="{665655D4-33B9-4F9D-861E-56F8EEB783B9}" name="DEBT EXT EXTRA" dataCellStyle="Comma">
      <calculatedColumnFormula>C7*0.07</calculatedColumnFormula>
    </tableColumn>
    <tableColumn id="7" xr3:uid="{F0BA1424-A87E-485F-BFAC-9D07CD7EFB71}" name="WORKING CAPITAL" dataCellStyle="Comma">
      <calculatedColumnFormula>C7*0.03</calculatedColumnFormula>
    </tableColumn>
  </tableColumns>
  <tableStyleInfo name="TableStyleLight8"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6F74467-2A64-4FA1-A416-B9938A93A7BD}" name="Table39" displayName="Table39" ref="B6:F8" totalsRowShown="0" headerRowDxfId="19" dataDxfId="18" tableBorderDxfId="17">
  <autoFilter ref="B6:F8" xr:uid="{F6F74467-2A64-4FA1-A416-B9938A93A7BD}">
    <filterColumn colId="0" hiddenButton="1"/>
    <filterColumn colId="1" hiddenButton="1"/>
    <filterColumn colId="2" hiddenButton="1"/>
    <filterColumn colId="3" hiddenButton="1"/>
    <filterColumn colId="4" hiddenButton="1"/>
  </autoFilter>
  <tableColumns count="5">
    <tableColumn id="1" xr3:uid="{63F6C037-B5E4-47B5-9A8F-BAF4D3B50419}" name="DATE" dataDxfId="16"/>
    <tableColumn id="2" xr3:uid="{4CFAE546-CA35-40A8-A0AE-511CD11174FB}" name="AMOUNT" dataDxfId="15"/>
    <tableColumn id="3" xr3:uid="{61BD6885-586F-4C37-95B5-A1108A7F1461}" name="TRACE NO." dataDxfId="14"/>
    <tableColumn id="4" xr3:uid="{E841110E-0443-4D96-87C4-E5FAC99A0C18}" name="COMMENT" dataDxfId="13"/>
    <tableColumn id="5" xr3:uid="{0F56CF33-83FB-4203-9FBA-752E2893BAD0}" name="OA?" dataDxfId="12"/>
  </tableColumns>
  <tableStyleInfo name="TableStyleLight8"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1E148F5-42ED-494B-B68D-73A0CE0E5A20}" name="TYLER" displayName="TYLER" ref="B6:F10" totalsRowShown="0">
  <autoFilter ref="B6:F10" xr:uid="{81E148F5-42ED-494B-B68D-73A0CE0E5A20}"/>
  <tableColumns count="5">
    <tableColumn id="1" xr3:uid="{55A877D6-EAF0-4052-AE40-3425190D2FC6}" name="DATE" dataDxfId="11">
      <calculatedColumnFormula>DATE(2025,6,1)</calculatedColumnFormula>
    </tableColumn>
    <tableColumn id="2" xr3:uid="{CF22B80C-5111-4D89-A4F9-F09FD746D3FB}" name="AMOUNT" dataCellStyle="Comma"/>
    <tableColumn id="3" xr3:uid="{DC589572-98C1-4265-819F-D197CFE1A011}" name="TRACE NO."/>
    <tableColumn id="4" xr3:uid="{577A822A-1E69-444E-93E6-B1A4190F13D8}" name="COMMENT"/>
    <tableColumn id="5" xr3:uid="{541E64DF-6D6B-4D8F-B460-0DE01496C731}" name="OA?"/>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FB9EE1-F941-4080-8680-A4E7D84EB82E}" name="CreditExpenses" displayName="CreditExpenses" ref="B6:F18" totalsRowCount="1">
  <autoFilter ref="B6:F17" xr:uid="{5CD98093-3CEB-4E4E-BFE3-3E0B61DFBDEF}"/>
  <tableColumns count="5">
    <tableColumn id="1" xr3:uid="{9C06F8C6-7C89-44A1-B5AC-FC9D8153971C}" name="Expense" totalsRowLabel="Total" totalsRowCellStyle="Normal 2"/>
    <tableColumn id="2" xr3:uid="{220C8164-4248-4F35-AAE3-9B648C06F622}" name="Budgeted" totalsRowFunction="sum" totalsRowCellStyle="Normal 2"/>
    <tableColumn id="3" xr3:uid="{EEF79B7C-151F-47AA-9DC3-61BF26864EEF}" name="Actual" totalsRowFunction="sum" totalsRowCellStyle="Normal 2"/>
    <tableColumn id="4" xr3:uid="{A6243D75-7C98-4CAD-8DD4-586F97B2A546}" name="Variance" totalsRowFunction="sum" dataDxfId="10" totalsRowCellStyle="Normal 2">
      <calculatedColumnFormula>CreditExpenses[[#This Row],[Actual]]-CreditExpenses[[#This Row],[Budgeted]]</calculatedColumnFormula>
    </tableColumn>
    <tableColumn id="5" xr3:uid="{76AF45EA-50BB-4366-AE7B-5752A4F4457A}" name="KAB NO." totalsRowFunction="count" totalsRowCellStyle="Normal 2"/>
  </tableColumns>
  <tableStyleInfo name="TableStyleMedium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28F37D9-BEDA-4A9F-9480-CCFAB2C928E8}" name="CAPITALONE" displayName="CAPITALONE" ref="B6:F10" totalsRowShown="0">
  <autoFilter ref="B6:F10" xr:uid="{C28F37D9-BEDA-4A9F-9480-CCFAB2C928E8}"/>
  <tableColumns count="5">
    <tableColumn id="1" xr3:uid="{A88E270C-40FE-4A0C-B33A-494FAACF6C00}" name="DATE" dataDxfId="9">
      <calculatedColumnFormula>DATE(2025,6,1)</calculatedColumnFormula>
    </tableColumn>
    <tableColumn id="2" xr3:uid="{0D628513-8471-4B7E-9447-5899FDF061B9}" name="AMOUNT" dataCellStyle="Comma"/>
    <tableColumn id="3" xr3:uid="{7D777047-E3B0-47E7-A6A8-7E01656CD4AD}" name="TRACE NO."/>
    <tableColumn id="4" xr3:uid="{BBC36AF2-3509-4A09-A2FA-89159B52A65C}" name="COMMENT"/>
    <tableColumn id="5" xr3:uid="{BB1F91C4-D969-4E7C-A093-BEDA0E340FAF}" name="OA?"/>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E6B56B6-EFE2-4DC1-8BA1-B2D2941106A8}" name="MONTY25" displayName="MONTY25" ref="B6:F10" totalsRowShown="0">
  <autoFilter ref="B6:F10" xr:uid="{AE6B56B6-EFE2-4DC1-8BA1-B2D2941106A8}"/>
  <tableColumns count="5">
    <tableColumn id="1" xr3:uid="{0DE7745E-4B2B-4736-A368-8B52E54FEC63}" name="DATE" dataDxfId="8">
      <calculatedColumnFormula>DATE(2025,6,1)</calculatedColumnFormula>
    </tableColumn>
    <tableColumn id="2" xr3:uid="{8A3F1191-EF75-44B7-9C71-BEE257C52505}" name="AMOUNT" dataCellStyle="Comma"/>
    <tableColumn id="3" xr3:uid="{99F9535B-35EB-4C94-B0C8-1DCD719C4C2A}" name="TRACE NO."/>
    <tableColumn id="4" xr3:uid="{291A11A2-D6A7-408D-99B0-5EC98D31615E}" name="COMMENT"/>
    <tableColumn id="5" xr3:uid="{373FED56-1FF2-4CB6-8926-27C0C55D90FB}" name="OA?"/>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B11FF44-F83B-43EB-8DDE-4B57E593F6AA}" name="MONTY27" displayName="MONTY27" ref="B6:F10" totalsRowShown="0">
  <autoFilter ref="B6:F10" xr:uid="{1B11FF44-F83B-43EB-8DDE-4B57E593F6AA}"/>
  <tableColumns count="5">
    <tableColumn id="1" xr3:uid="{4D38D597-79AD-4C82-8895-5F365C559462}" name="DATE" dataDxfId="7">
      <calculatedColumnFormula>DATE(2025,6,1)</calculatedColumnFormula>
    </tableColumn>
    <tableColumn id="2" xr3:uid="{15F64742-645F-4141-A07E-73F8E8454C78}" name="AMOUNT" dataCellStyle="Comma"/>
    <tableColumn id="3" xr3:uid="{FECB975C-A3CC-4C3C-ADCB-A17FA5E9F9DA}" name="TRACE NO."/>
    <tableColumn id="4" xr3:uid="{A69361D0-F6A0-4F16-9315-32600BEB2611}" name="COMMENT"/>
    <tableColumn id="5" xr3:uid="{57D08C22-D61F-4E58-843C-BE02B89FC3C0}" name="OA?"/>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BC2FBFB-FCEB-4E61-A298-63E3B4DC8678}" name="MONTY29" displayName="MONTY29" ref="B6:F10" totalsRowShown="0">
  <autoFilter ref="B6:F10" xr:uid="{CBC2FBFB-FCEB-4E61-A298-63E3B4DC8678}"/>
  <tableColumns count="5">
    <tableColumn id="1" xr3:uid="{ACA56D12-DF8C-4596-8947-E04148E3623E}" name="DATE" dataDxfId="6">
      <calculatedColumnFormula>DATE(2025,6,1)</calculatedColumnFormula>
    </tableColumn>
    <tableColumn id="2" xr3:uid="{0382FBAD-41CE-47DE-B9C5-60A95CDE92D9}" name="AMOUNT" dataCellStyle="Comma"/>
    <tableColumn id="3" xr3:uid="{86582763-9E2F-4BD3-8CDF-B0F7A13822DA}" name="TRACE NO."/>
    <tableColumn id="4" xr3:uid="{068AE965-9599-4849-A35E-30DA5485587A}" name="COMMENT"/>
    <tableColumn id="5" xr3:uid="{C3CCD06F-7C44-4F34-B9CD-FE5AB286B525}" name="OA?"/>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953C73D-6538-48D4-BE11-B9C12B64C8AF}" name="MONTY31" displayName="MONTY31" ref="B6:F10" totalsRowShown="0">
  <autoFilter ref="B6:F10" xr:uid="{2953C73D-6538-48D4-BE11-B9C12B64C8AF}"/>
  <tableColumns count="5">
    <tableColumn id="1" xr3:uid="{91199A7A-1F76-4874-8AA6-F96345787AF9}" name="DATE" dataDxfId="5">
      <calculatedColumnFormula>DATE(2025,6,1)</calculatedColumnFormula>
    </tableColumn>
    <tableColumn id="2" xr3:uid="{42D19B79-F0B0-4E85-AA9F-222D783A76F3}" name="AMOUNT" dataCellStyle="Comma"/>
    <tableColumn id="3" xr3:uid="{1CC0B31C-2656-4C57-818D-0067F681C3F7}" name="TRACE NO."/>
    <tableColumn id="4" xr3:uid="{624D72E2-4890-4536-8FC1-FC3A670C6ADA}" name="COMMENT"/>
    <tableColumn id="5" xr3:uid="{EDBA7EEC-9EFC-4DA7-88D6-645B0765B731}" name="OA?"/>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ED450C7-8EDA-4C71-8AAF-FD826DFD5CE5}" name="MONTY33" displayName="MONTY33" ref="B6:F10" totalsRowShown="0">
  <autoFilter ref="B6:F10" xr:uid="{DED450C7-8EDA-4C71-8AAF-FD826DFD5CE5}"/>
  <tableColumns count="5">
    <tableColumn id="1" xr3:uid="{15BB558C-4E14-4941-962F-7B38284D2AEF}" name="DATE" dataDxfId="4">
      <calculatedColumnFormula>DATE(2025,6,1)</calculatedColumnFormula>
    </tableColumn>
    <tableColumn id="2" xr3:uid="{49DB014A-8617-49EA-862A-3BB0C8F1B8CC}" name="AMOUNT" dataCellStyle="Comma"/>
    <tableColumn id="3" xr3:uid="{BB3EB3CF-EF5F-4C92-BE8B-C60283A7DEC9}" name="TRACE NO."/>
    <tableColumn id="4" xr3:uid="{D80846AA-C453-405B-9715-8D7F40E85A67}" name="COMMENT"/>
    <tableColumn id="5" xr3:uid="{B0DFE23D-9A70-4F63-A0F7-81D063F7D5B4}" name="OA?"/>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E3ED0CC-B69D-4288-B7A8-B4BD6A990577}" name="MONTY36" displayName="MONTY36" ref="B6:F10" totalsRowShown="0">
  <autoFilter ref="B6:F10" xr:uid="{1E3ED0CC-B69D-4288-B7A8-B4BD6A990577}"/>
  <tableColumns count="5">
    <tableColumn id="1" xr3:uid="{6B85EBD1-58DA-4AAE-A99A-143A741A3122}" name="DATE" dataDxfId="3">
      <calculatedColumnFormula>DATE(2025,6,1)</calculatedColumnFormula>
    </tableColumn>
    <tableColumn id="2" xr3:uid="{FE5DDD73-770D-42CC-B46E-A61E56E2683B}" name="AMOUNT" dataCellStyle="Comma"/>
    <tableColumn id="3" xr3:uid="{158A95FC-4EA4-4AA8-B768-8F081D0B4749}" name="TRACE NO."/>
    <tableColumn id="4" xr3:uid="{BD09C957-0F45-48C7-B2A1-4E7453561687}" name="COMMENT"/>
    <tableColumn id="5" xr3:uid="{364B1A31-06C7-47BE-8A95-9C06A25E2E35}" name="OA?"/>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E28EC3A-4952-47DD-B9E0-CB67704219D5}" name="MONTY38" displayName="MONTY38" ref="B6:F10" totalsRowShown="0">
  <autoFilter ref="B6:F10" xr:uid="{3E28EC3A-4952-47DD-B9E0-CB67704219D5}"/>
  <tableColumns count="5">
    <tableColumn id="1" xr3:uid="{C46F514D-C458-442E-B362-9F414DCE6347}" name="DATE" dataDxfId="2">
      <calculatedColumnFormula>DATE(2025,6,1)</calculatedColumnFormula>
    </tableColumn>
    <tableColumn id="2" xr3:uid="{467BA97D-CAED-4DBF-98C2-0AC0AECD9691}" name="AMOUNT" dataCellStyle="Comma"/>
    <tableColumn id="3" xr3:uid="{C14DC646-11C6-4A3C-A4B0-D17DDA17A0F0}" name="TRACE NO."/>
    <tableColumn id="4" xr3:uid="{F8561322-824F-4C13-B821-2588942D9B4C}" name="COMMENT"/>
    <tableColumn id="5" xr3:uid="{428EFC35-C05A-4CB2-850F-1CE0764BB09E}" name="OA?"/>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2C7791-2486-45BA-8431-283B4CD8FC9D}" name="Table6" displayName="Table6" ref="B6:D11" totalsRowShown="0">
  <autoFilter ref="B6:D11" xr:uid="{A52C7791-2486-45BA-8431-283B4CD8FC9D}">
    <filterColumn colId="0" hiddenButton="1"/>
    <filterColumn colId="1" hiddenButton="1"/>
    <filterColumn colId="2" hiddenButton="1"/>
  </autoFilter>
  <tableColumns count="3">
    <tableColumn id="1" xr3:uid="{B0AE9D70-8931-40E1-BA81-2148C7F120D8}" name="Category"/>
    <tableColumn id="2" xr3:uid="{3F844DBA-48E8-4448-B2F5-CB8FF32C4D95}" name="Planned Amount" dataDxfId="1">
      <calculatedColumnFormula>'Category Analysis'!C7</calculatedColumnFormula>
    </tableColumn>
    <tableColumn id="3" xr3:uid="{B1C4DC40-25BD-4DCA-99A7-672F984BAD35}" name="Actual Amount" dataDxfId="0">
      <calculatedColumnFormula>'Category Analysis'!D7</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AB36000-6998-4840-BB80-78FE674BBC61}">
  <we:reference id="wa200004935" version="6.0.0.0" store="en-US" storeType="OMEX"/>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C9EC2-8202-49D9-919A-84B5E9A3ACA3}">
  <sheetPr codeName="Sheet18"/>
  <dimension ref="A1:H143"/>
  <sheetViews>
    <sheetView topLeftCell="A124" workbookViewId="0">
      <selection activeCell="B1" sqref="B1"/>
    </sheetView>
  </sheetViews>
  <sheetFormatPr defaultRowHeight="15" x14ac:dyDescent="0.25"/>
  <cols>
    <col min="1" max="1" width="7" style="70" bestFit="1" customWidth="1"/>
    <col min="2" max="2" width="30.5" style="68" bestFit="1" customWidth="1"/>
    <col min="3" max="3" width="55.375" style="68" bestFit="1" customWidth="1"/>
    <col min="4" max="4" width="7" style="68" bestFit="1" customWidth="1"/>
    <col min="5" max="5" width="9" style="68"/>
    <col min="6" max="6" width="7" style="68" bestFit="1" customWidth="1"/>
    <col min="7" max="7" width="9" style="68"/>
    <col min="8" max="8" width="55.25" style="68" bestFit="1" customWidth="1"/>
    <col min="9" max="16384" width="9" style="68"/>
  </cols>
  <sheetData>
    <row r="1" spans="1:8" x14ac:dyDescent="0.25">
      <c r="A1" s="66" t="s">
        <v>254</v>
      </c>
      <c r="B1" s="67" t="s">
        <v>255</v>
      </c>
      <c r="C1" s="67" t="s">
        <v>256</v>
      </c>
      <c r="D1" s="67" t="s">
        <v>257</v>
      </c>
      <c r="E1" s="67" t="s">
        <v>258</v>
      </c>
      <c r="F1" s="68" t="s">
        <v>259</v>
      </c>
      <c r="H1" s="68" t="s">
        <v>255</v>
      </c>
    </row>
    <row r="2" spans="1:8" x14ac:dyDescent="0.25">
      <c r="A2" s="66" t="s">
        <v>187</v>
      </c>
      <c r="B2" s="69" t="s">
        <v>260</v>
      </c>
      <c r="C2" s="69" t="s">
        <v>261</v>
      </c>
      <c r="D2" s="67"/>
      <c r="E2" s="67"/>
    </row>
    <row r="3" spans="1:8" x14ac:dyDescent="0.25">
      <c r="A3" s="66" t="s">
        <v>187</v>
      </c>
      <c r="B3" s="69" t="s">
        <v>260</v>
      </c>
      <c r="C3" s="69" t="s">
        <v>262</v>
      </c>
      <c r="D3" s="67"/>
      <c r="E3" s="67"/>
    </row>
    <row r="4" spans="1:8" x14ac:dyDescent="0.25">
      <c r="A4" s="66" t="s">
        <v>187</v>
      </c>
      <c r="B4" s="69" t="s">
        <v>260</v>
      </c>
      <c r="C4" s="69" t="s">
        <v>263</v>
      </c>
      <c r="D4" s="67"/>
      <c r="E4" s="67"/>
    </row>
    <row r="5" spans="1:8" x14ac:dyDescent="0.25">
      <c r="A5" s="66" t="s">
        <v>187</v>
      </c>
      <c r="B5" s="69" t="s">
        <v>264</v>
      </c>
      <c r="C5" s="69" t="s">
        <v>265</v>
      </c>
      <c r="D5" s="67"/>
      <c r="E5" s="67"/>
    </row>
    <row r="6" spans="1:8" x14ac:dyDescent="0.25">
      <c r="A6" s="66" t="s">
        <v>187</v>
      </c>
      <c r="B6" s="69" t="s">
        <v>266</v>
      </c>
      <c r="C6" s="69" t="s">
        <v>267</v>
      </c>
      <c r="D6" s="67"/>
      <c r="E6" s="67"/>
    </row>
    <row r="7" spans="1:8" x14ac:dyDescent="0.25">
      <c r="A7" s="66" t="s">
        <v>187</v>
      </c>
      <c r="B7" s="69" t="s">
        <v>268</v>
      </c>
      <c r="C7" s="69" t="s">
        <v>267</v>
      </c>
      <c r="D7" s="67"/>
      <c r="E7" s="67"/>
    </row>
    <row r="8" spans="1:8" x14ac:dyDescent="0.25">
      <c r="A8" s="66" t="s">
        <v>187</v>
      </c>
      <c r="B8" s="69" t="s">
        <v>264</v>
      </c>
      <c r="C8" s="69" t="s">
        <v>267</v>
      </c>
      <c r="D8" s="67"/>
      <c r="E8" s="67"/>
    </row>
    <row r="9" spans="1:8" x14ac:dyDescent="0.25">
      <c r="A9" s="66" t="s">
        <v>187</v>
      </c>
      <c r="B9" s="69" t="s">
        <v>269</v>
      </c>
      <c r="C9" s="69" t="s">
        <v>270</v>
      </c>
      <c r="D9" s="67"/>
      <c r="E9" s="67"/>
    </row>
    <row r="10" spans="1:8" x14ac:dyDescent="0.25">
      <c r="A10" s="66" t="s">
        <v>187</v>
      </c>
      <c r="B10" s="69" t="s">
        <v>269</v>
      </c>
      <c r="C10" s="69" t="s">
        <v>271</v>
      </c>
      <c r="D10" s="67"/>
      <c r="E10" s="67"/>
    </row>
    <row r="11" spans="1:8" x14ac:dyDescent="0.25">
      <c r="A11" s="66" t="s">
        <v>187</v>
      </c>
      <c r="B11" s="69" t="s">
        <v>269</v>
      </c>
      <c r="C11" s="69" t="s">
        <v>272</v>
      </c>
      <c r="D11" s="67"/>
      <c r="E11" s="67"/>
    </row>
    <row r="12" spans="1:8" x14ac:dyDescent="0.25">
      <c r="A12" s="66" t="s">
        <v>187</v>
      </c>
      <c r="B12" s="69" t="s">
        <v>269</v>
      </c>
      <c r="C12" s="69" t="s">
        <v>273</v>
      </c>
      <c r="D12" s="67"/>
      <c r="E12" s="67"/>
    </row>
    <row r="13" spans="1:8" x14ac:dyDescent="0.25">
      <c r="A13" s="66" t="s">
        <v>187</v>
      </c>
      <c r="B13" s="69" t="s">
        <v>274</v>
      </c>
      <c r="C13" s="69" t="s">
        <v>275</v>
      </c>
      <c r="D13" s="67"/>
      <c r="E13" s="67"/>
    </row>
    <row r="14" spans="1:8" x14ac:dyDescent="0.25">
      <c r="A14" s="66" t="s">
        <v>187</v>
      </c>
      <c r="B14" s="69" t="s">
        <v>274</v>
      </c>
      <c r="C14" s="69" t="s">
        <v>276</v>
      </c>
      <c r="D14" s="67"/>
      <c r="E14" s="67"/>
    </row>
    <row r="15" spans="1:8" x14ac:dyDescent="0.25">
      <c r="A15" s="66" t="s">
        <v>187</v>
      </c>
      <c r="B15" s="69" t="s">
        <v>274</v>
      </c>
      <c r="C15" s="69" t="s">
        <v>277</v>
      </c>
      <c r="D15" s="67"/>
      <c r="E15" s="67"/>
    </row>
    <row r="16" spans="1:8" x14ac:dyDescent="0.25">
      <c r="A16" s="66" t="s">
        <v>187</v>
      </c>
      <c r="B16" s="69" t="s">
        <v>274</v>
      </c>
      <c r="C16" s="69" t="s">
        <v>278</v>
      </c>
      <c r="D16" s="67"/>
      <c r="E16" s="67"/>
    </row>
    <row r="17" spans="1:5" x14ac:dyDescent="0.25">
      <c r="A17" s="70" t="s">
        <v>187</v>
      </c>
      <c r="B17" s="68" t="s">
        <v>279</v>
      </c>
      <c r="D17" s="67"/>
      <c r="E17" s="67"/>
    </row>
    <row r="18" spans="1:5" x14ac:dyDescent="0.25">
      <c r="A18" s="70" t="s">
        <v>187</v>
      </c>
      <c r="B18" s="68" t="s">
        <v>266</v>
      </c>
      <c r="D18" s="67"/>
      <c r="E18" s="67"/>
    </row>
    <row r="19" spans="1:5" x14ac:dyDescent="0.25">
      <c r="A19" s="70" t="s">
        <v>187</v>
      </c>
      <c r="B19" s="68" t="s">
        <v>280</v>
      </c>
      <c r="D19" s="67"/>
      <c r="E19" s="67"/>
    </row>
    <row r="20" spans="1:5" x14ac:dyDescent="0.25">
      <c r="A20" s="70" t="s">
        <v>187</v>
      </c>
      <c r="B20" s="68" t="s">
        <v>264</v>
      </c>
      <c r="D20" s="67"/>
      <c r="E20" s="67"/>
    </row>
    <row r="21" spans="1:5" x14ac:dyDescent="0.25">
      <c r="A21" s="70" t="s">
        <v>187</v>
      </c>
      <c r="B21" s="68" t="s">
        <v>281</v>
      </c>
      <c r="D21" s="67"/>
      <c r="E21" s="67"/>
    </row>
    <row r="22" spans="1:5" x14ac:dyDescent="0.25">
      <c r="A22" s="70" t="s">
        <v>187</v>
      </c>
      <c r="B22" s="68" t="s">
        <v>282</v>
      </c>
      <c r="D22" s="67"/>
      <c r="E22" s="67"/>
    </row>
    <row r="23" spans="1:5" x14ac:dyDescent="0.25">
      <c r="A23" s="70" t="s">
        <v>187</v>
      </c>
      <c r="B23" s="68" t="s">
        <v>283</v>
      </c>
      <c r="D23" s="67"/>
      <c r="E23" s="67"/>
    </row>
    <row r="24" spans="1:5" x14ac:dyDescent="0.25">
      <c r="A24" s="70" t="s">
        <v>187</v>
      </c>
      <c r="B24" s="68" t="s">
        <v>284</v>
      </c>
      <c r="D24" s="67"/>
      <c r="E24" s="67"/>
    </row>
    <row r="25" spans="1:5" x14ac:dyDescent="0.25">
      <c r="A25" s="70" t="s">
        <v>187</v>
      </c>
      <c r="B25" s="68" t="s">
        <v>276</v>
      </c>
      <c r="D25" s="67"/>
      <c r="E25" s="67"/>
    </row>
    <row r="26" spans="1:5" x14ac:dyDescent="0.25">
      <c r="A26" s="70" t="s">
        <v>187</v>
      </c>
      <c r="B26" s="68" t="s">
        <v>285</v>
      </c>
      <c r="D26" s="67"/>
      <c r="E26" s="67"/>
    </row>
    <row r="27" spans="1:5" x14ac:dyDescent="0.25">
      <c r="A27" s="70" t="s">
        <v>187</v>
      </c>
      <c r="B27" s="68" t="s">
        <v>286</v>
      </c>
      <c r="D27" s="67"/>
      <c r="E27" s="67"/>
    </row>
    <row r="28" spans="1:5" x14ac:dyDescent="0.25">
      <c r="A28" s="71" t="s">
        <v>189</v>
      </c>
      <c r="D28" s="67"/>
      <c r="E28" s="67"/>
    </row>
    <row r="29" spans="1:5" x14ac:dyDescent="0.25">
      <c r="A29" s="71" t="s">
        <v>252</v>
      </c>
      <c r="D29" s="67"/>
      <c r="E29" s="67"/>
    </row>
    <row r="30" spans="1:5" x14ac:dyDescent="0.25">
      <c r="A30" s="71" t="s">
        <v>253</v>
      </c>
      <c r="D30" s="67"/>
      <c r="E30" s="67"/>
    </row>
    <row r="31" spans="1:5" x14ac:dyDescent="0.25">
      <c r="A31" s="71" t="s">
        <v>249</v>
      </c>
      <c r="D31" s="67"/>
      <c r="E31" s="67"/>
    </row>
    <row r="32" spans="1:5" x14ac:dyDescent="0.25">
      <c r="A32" s="71" t="s">
        <v>250</v>
      </c>
      <c r="D32" s="67"/>
      <c r="E32" s="67"/>
    </row>
    <row r="33" spans="1:5" x14ac:dyDescent="0.25">
      <c r="A33" s="71" t="s">
        <v>251</v>
      </c>
      <c r="D33" s="67"/>
      <c r="E33" s="67"/>
    </row>
    <row r="34" spans="1:5" x14ac:dyDescent="0.25">
      <c r="A34" s="71" t="s">
        <v>191</v>
      </c>
      <c r="D34" s="67"/>
      <c r="E34" s="67"/>
    </row>
    <row r="35" spans="1:5" x14ac:dyDescent="0.25">
      <c r="A35" s="71" t="s">
        <v>193</v>
      </c>
      <c r="D35" s="67"/>
      <c r="E35" s="67"/>
    </row>
    <row r="36" spans="1:5" x14ac:dyDescent="0.25">
      <c r="A36" s="71" t="s">
        <v>195</v>
      </c>
      <c r="D36" s="67"/>
      <c r="E36" s="67"/>
    </row>
    <row r="37" spans="1:5" x14ac:dyDescent="0.25">
      <c r="A37" s="71" t="s">
        <v>197</v>
      </c>
      <c r="D37" s="67"/>
      <c r="E37" s="67"/>
    </row>
    <row r="38" spans="1:5" x14ac:dyDescent="0.25">
      <c r="A38" s="71" t="s">
        <v>199</v>
      </c>
      <c r="D38" s="67"/>
      <c r="E38" s="67"/>
    </row>
    <row r="39" spans="1:5" x14ac:dyDescent="0.25">
      <c r="A39" s="71" t="s">
        <v>201</v>
      </c>
      <c r="D39" s="67"/>
      <c r="E39" s="67"/>
    </row>
    <row r="40" spans="1:5" x14ac:dyDescent="0.25">
      <c r="A40" s="71" t="s">
        <v>203</v>
      </c>
      <c r="D40" s="67"/>
      <c r="E40" s="67"/>
    </row>
    <row r="41" spans="1:5" x14ac:dyDescent="0.25">
      <c r="A41" s="71" t="s">
        <v>205</v>
      </c>
      <c r="D41" s="67"/>
      <c r="E41" s="67"/>
    </row>
    <row r="42" spans="1:5" x14ac:dyDescent="0.25">
      <c r="A42" s="71" t="s">
        <v>207</v>
      </c>
      <c r="D42" s="67"/>
      <c r="E42" s="67"/>
    </row>
    <row r="43" spans="1:5" x14ac:dyDescent="0.25">
      <c r="A43" s="71" t="s">
        <v>209</v>
      </c>
      <c r="D43" s="67"/>
      <c r="E43" s="67"/>
    </row>
    <row r="44" spans="1:5" x14ac:dyDescent="0.25">
      <c r="A44" s="71" t="s">
        <v>210</v>
      </c>
      <c r="D44" s="67"/>
      <c r="E44" s="67"/>
    </row>
    <row r="45" spans="1:5" x14ac:dyDescent="0.25">
      <c r="A45" s="71" t="s">
        <v>211</v>
      </c>
      <c r="D45" s="67"/>
      <c r="E45" s="67"/>
    </row>
    <row r="46" spans="1:5" x14ac:dyDescent="0.25">
      <c r="A46" s="71" t="s">
        <v>212</v>
      </c>
      <c r="D46" s="67"/>
      <c r="E46" s="67"/>
    </row>
    <row r="47" spans="1:5" x14ac:dyDescent="0.25">
      <c r="A47" s="71" t="s">
        <v>213</v>
      </c>
      <c r="D47" s="67"/>
      <c r="E47" s="67"/>
    </row>
    <row r="48" spans="1:5" x14ac:dyDescent="0.25">
      <c r="A48" s="71" t="s">
        <v>214</v>
      </c>
      <c r="D48" s="67"/>
      <c r="E48" s="67"/>
    </row>
    <row r="49" spans="1:5" x14ac:dyDescent="0.25">
      <c r="A49" s="71" t="s">
        <v>215</v>
      </c>
      <c r="D49" s="67"/>
      <c r="E49" s="67"/>
    </row>
    <row r="50" spans="1:5" x14ac:dyDescent="0.25">
      <c r="A50" s="71" t="s">
        <v>216</v>
      </c>
      <c r="D50" s="67"/>
      <c r="E50" s="67"/>
    </row>
    <row r="51" spans="1:5" x14ac:dyDescent="0.25">
      <c r="A51" s="71" t="s">
        <v>217</v>
      </c>
      <c r="D51" s="67"/>
      <c r="E51" s="67"/>
    </row>
    <row r="52" spans="1:5" x14ac:dyDescent="0.25">
      <c r="A52" s="71" t="s">
        <v>218</v>
      </c>
      <c r="D52" s="67"/>
      <c r="E52" s="67"/>
    </row>
    <row r="53" spans="1:5" x14ac:dyDescent="0.25">
      <c r="A53" s="71" t="s">
        <v>221</v>
      </c>
      <c r="D53" s="67"/>
      <c r="E53" s="67"/>
    </row>
    <row r="54" spans="1:5" x14ac:dyDescent="0.25">
      <c r="A54" s="66" t="s">
        <v>287</v>
      </c>
      <c r="B54" s="69" t="s">
        <v>288</v>
      </c>
      <c r="C54" s="69" t="s">
        <v>289</v>
      </c>
      <c r="D54" s="67"/>
      <c r="E54" s="67"/>
    </row>
    <row r="55" spans="1:5" x14ac:dyDescent="0.25">
      <c r="A55" s="66" t="s">
        <v>287</v>
      </c>
      <c r="B55" s="69" t="s">
        <v>288</v>
      </c>
      <c r="C55" s="69" t="s">
        <v>290</v>
      </c>
      <c r="D55" s="67"/>
      <c r="E55" s="67"/>
    </row>
    <row r="56" spans="1:5" x14ac:dyDescent="0.25">
      <c r="A56" s="66" t="s">
        <v>287</v>
      </c>
      <c r="B56" s="69" t="s">
        <v>288</v>
      </c>
      <c r="C56" s="69" t="s">
        <v>291</v>
      </c>
      <c r="D56" s="67"/>
      <c r="E56" s="67"/>
    </row>
    <row r="57" spans="1:5" x14ac:dyDescent="0.25">
      <c r="A57" s="66" t="s">
        <v>287</v>
      </c>
      <c r="B57" s="69" t="s">
        <v>292</v>
      </c>
      <c r="C57" s="69" t="s">
        <v>293</v>
      </c>
      <c r="D57" s="67"/>
      <c r="E57" s="67"/>
    </row>
    <row r="58" spans="1:5" x14ac:dyDescent="0.25">
      <c r="A58" s="66" t="s">
        <v>287</v>
      </c>
      <c r="B58" s="69" t="s">
        <v>294</v>
      </c>
      <c r="C58" s="69" t="s">
        <v>295</v>
      </c>
      <c r="D58" s="67"/>
      <c r="E58" s="67"/>
    </row>
    <row r="59" spans="1:5" x14ac:dyDescent="0.25">
      <c r="A59" s="66" t="s">
        <v>287</v>
      </c>
      <c r="B59" s="69" t="s">
        <v>294</v>
      </c>
      <c r="C59" s="69" t="s">
        <v>296</v>
      </c>
      <c r="D59" s="67"/>
      <c r="E59" s="67"/>
    </row>
    <row r="60" spans="1:5" x14ac:dyDescent="0.25">
      <c r="A60" s="66" t="s">
        <v>287</v>
      </c>
      <c r="B60" s="69" t="s">
        <v>294</v>
      </c>
      <c r="C60" s="69" t="s">
        <v>297</v>
      </c>
      <c r="D60" s="67"/>
      <c r="E60" s="72"/>
    </row>
    <row r="61" spans="1:5" x14ac:dyDescent="0.25">
      <c r="A61" s="66" t="s">
        <v>287</v>
      </c>
      <c r="B61" s="69" t="s">
        <v>298</v>
      </c>
      <c r="C61" s="69"/>
      <c r="D61" s="67"/>
      <c r="E61" s="72"/>
    </row>
    <row r="62" spans="1:5" x14ac:dyDescent="0.25">
      <c r="A62" s="66" t="s">
        <v>287</v>
      </c>
      <c r="B62" s="69" t="s">
        <v>299</v>
      </c>
      <c r="C62" s="69" t="s">
        <v>300</v>
      </c>
      <c r="D62" s="67"/>
      <c r="E62" s="72"/>
    </row>
    <row r="63" spans="1:5" x14ac:dyDescent="0.25">
      <c r="A63" s="66" t="s">
        <v>287</v>
      </c>
      <c r="B63" s="69" t="s">
        <v>299</v>
      </c>
      <c r="C63" s="69" t="s">
        <v>301</v>
      </c>
      <c r="D63" s="67"/>
      <c r="E63" s="67"/>
    </row>
    <row r="64" spans="1:5" x14ac:dyDescent="0.25">
      <c r="A64" s="70" t="s">
        <v>287</v>
      </c>
      <c r="B64" s="68" t="s">
        <v>288</v>
      </c>
      <c r="D64" s="67"/>
      <c r="E64" s="67"/>
    </row>
    <row r="65" spans="1:5" x14ac:dyDescent="0.25">
      <c r="A65" s="70" t="s">
        <v>287</v>
      </c>
      <c r="B65" s="68" t="s">
        <v>302</v>
      </c>
      <c r="D65" s="67"/>
      <c r="E65" s="67"/>
    </row>
    <row r="66" spans="1:5" x14ac:dyDescent="0.25">
      <c r="A66" s="70" t="s">
        <v>287</v>
      </c>
      <c r="B66" s="68" t="s">
        <v>294</v>
      </c>
      <c r="D66" s="67"/>
      <c r="E66" s="67"/>
    </row>
    <row r="67" spans="1:5" x14ac:dyDescent="0.25">
      <c r="A67" s="70" t="s">
        <v>287</v>
      </c>
      <c r="B67" s="68" t="s">
        <v>299</v>
      </c>
      <c r="D67" s="67"/>
      <c r="E67" s="67"/>
    </row>
    <row r="68" spans="1:5" x14ac:dyDescent="0.25">
      <c r="A68" s="71" t="s">
        <v>186</v>
      </c>
      <c r="D68" s="67"/>
      <c r="E68" s="67"/>
    </row>
    <row r="69" spans="1:5" x14ac:dyDescent="0.25">
      <c r="A69" s="71" t="s">
        <v>222</v>
      </c>
      <c r="D69" s="67"/>
      <c r="E69" s="67"/>
    </row>
    <row r="70" spans="1:5" x14ac:dyDescent="0.25">
      <c r="A70" s="71" t="s">
        <v>223</v>
      </c>
      <c r="D70" s="67"/>
      <c r="E70" s="67"/>
    </row>
    <row r="71" spans="1:5" x14ac:dyDescent="0.25">
      <c r="A71" s="71" t="s">
        <v>224</v>
      </c>
      <c r="D71" s="67"/>
      <c r="E71" s="67"/>
    </row>
    <row r="72" spans="1:5" x14ac:dyDescent="0.25">
      <c r="A72" s="71" t="s">
        <v>225</v>
      </c>
      <c r="D72" s="67"/>
      <c r="E72" s="67"/>
    </row>
    <row r="73" spans="1:5" x14ac:dyDescent="0.25">
      <c r="A73" s="71" t="s">
        <v>226</v>
      </c>
    </row>
    <row r="74" spans="1:5" x14ac:dyDescent="0.25">
      <c r="A74" s="71" t="s">
        <v>227</v>
      </c>
    </row>
    <row r="75" spans="1:5" x14ac:dyDescent="0.25">
      <c r="A75" s="71" t="s">
        <v>228</v>
      </c>
    </row>
    <row r="76" spans="1:5" x14ac:dyDescent="0.25">
      <c r="A76" s="71" t="s">
        <v>229</v>
      </c>
    </row>
    <row r="77" spans="1:5" x14ac:dyDescent="0.25">
      <c r="A77" s="71" t="s">
        <v>230</v>
      </c>
    </row>
    <row r="78" spans="1:5" x14ac:dyDescent="0.25">
      <c r="A78" s="71" t="s">
        <v>231</v>
      </c>
    </row>
    <row r="79" spans="1:5" x14ac:dyDescent="0.25">
      <c r="A79" s="71" t="s">
        <v>219</v>
      </c>
    </row>
    <row r="80" spans="1:5" x14ac:dyDescent="0.25">
      <c r="A80" s="71" t="s">
        <v>220</v>
      </c>
    </row>
    <row r="81" spans="1:3" x14ac:dyDescent="0.25">
      <c r="A81" s="66" t="s">
        <v>303</v>
      </c>
      <c r="B81" s="69" t="s">
        <v>277</v>
      </c>
      <c r="C81" s="69" t="s">
        <v>304</v>
      </c>
    </row>
    <row r="82" spans="1:3" x14ac:dyDescent="0.25">
      <c r="A82" s="66" t="s">
        <v>303</v>
      </c>
      <c r="B82" s="69" t="s">
        <v>305</v>
      </c>
      <c r="C82" s="69" t="s">
        <v>306</v>
      </c>
    </row>
    <row r="83" spans="1:3" x14ac:dyDescent="0.25">
      <c r="A83" s="66" t="s">
        <v>303</v>
      </c>
      <c r="B83" s="69" t="s">
        <v>277</v>
      </c>
      <c r="C83" s="69" t="s">
        <v>307</v>
      </c>
    </row>
    <row r="84" spans="1:3" x14ac:dyDescent="0.25">
      <c r="A84" s="66" t="s">
        <v>303</v>
      </c>
      <c r="B84" s="69" t="s">
        <v>305</v>
      </c>
      <c r="C84" s="69" t="s">
        <v>308</v>
      </c>
    </row>
    <row r="85" spans="1:3" x14ac:dyDescent="0.25">
      <c r="A85" s="70" t="s">
        <v>303</v>
      </c>
      <c r="B85" s="68" t="s">
        <v>277</v>
      </c>
    </row>
    <row r="86" spans="1:3" x14ac:dyDescent="0.25">
      <c r="A86" s="70" t="s">
        <v>303</v>
      </c>
      <c r="B86" s="68" t="s">
        <v>309</v>
      </c>
    </row>
    <row r="87" spans="1:3" x14ac:dyDescent="0.25">
      <c r="A87" s="70" t="s">
        <v>303</v>
      </c>
      <c r="B87" s="68" t="s">
        <v>310</v>
      </c>
    </row>
    <row r="88" spans="1:3" x14ac:dyDescent="0.25">
      <c r="A88" s="66" t="s">
        <v>311</v>
      </c>
      <c r="B88" s="69" t="s">
        <v>312</v>
      </c>
      <c r="C88" s="69" t="s">
        <v>313</v>
      </c>
    </row>
    <row r="89" spans="1:3" x14ac:dyDescent="0.25">
      <c r="A89" s="66" t="s">
        <v>311</v>
      </c>
      <c r="B89" s="69" t="s">
        <v>314</v>
      </c>
      <c r="C89" s="69" t="s">
        <v>315</v>
      </c>
    </row>
    <row r="90" spans="1:3" x14ac:dyDescent="0.25">
      <c r="A90" s="66" t="s">
        <v>311</v>
      </c>
      <c r="B90" s="69" t="s">
        <v>314</v>
      </c>
      <c r="C90" s="69" t="s">
        <v>316</v>
      </c>
    </row>
    <row r="91" spans="1:3" x14ac:dyDescent="0.25">
      <c r="A91" s="66" t="s">
        <v>311</v>
      </c>
      <c r="B91" s="69" t="s">
        <v>314</v>
      </c>
      <c r="C91" s="69" t="s">
        <v>317</v>
      </c>
    </row>
    <row r="92" spans="1:3" x14ac:dyDescent="0.25">
      <c r="A92" s="66" t="s">
        <v>311</v>
      </c>
      <c r="B92" s="69" t="s">
        <v>314</v>
      </c>
      <c r="C92" s="69" t="s">
        <v>318</v>
      </c>
    </row>
    <row r="93" spans="1:3" x14ac:dyDescent="0.25">
      <c r="A93" s="66" t="s">
        <v>311</v>
      </c>
      <c r="B93" s="69" t="s">
        <v>319</v>
      </c>
      <c r="C93" s="69" t="s">
        <v>320</v>
      </c>
    </row>
    <row r="94" spans="1:3" x14ac:dyDescent="0.25">
      <c r="A94" s="66" t="s">
        <v>311</v>
      </c>
      <c r="B94" s="69" t="s">
        <v>319</v>
      </c>
      <c r="C94" s="69" t="s">
        <v>3</v>
      </c>
    </row>
    <row r="95" spans="1:3" x14ac:dyDescent="0.25">
      <c r="A95" s="66" t="s">
        <v>311</v>
      </c>
      <c r="B95" s="69" t="s">
        <v>312</v>
      </c>
      <c r="C95" s="69" t="s">
        <v>321</v>
      </c>
    </row>
    <row r="96" spans="1:3" x14ac:dyDescent="0.25">
      <c r="A96" s="66" t="s">
        <v>311</v>
      </c>
      <c r="B96" s="69" t="s">
        <v>312</v>
      </c>
      <c r="C96" s="69" t="s">
        <v>322</v>
      </c>
    </row>
    <row r="97" spans="1:2" x14ac:dyDescent="0.25">
      <c r="A97" s="70" t="s">
        <v>311</v>
      </c>
      <c r="B97" s="68" t="s">
        <v>268</v>
      </c>
    </row>
    <row r="98" spans="1:2" x14ac:dyDescent="0.25">
      <c r="A98" s="71" t="s">
        <v>232</v>
      </c>
    </row>
    <row r="99" spans="1:2" x14ac:dyDescent="0.25">
      <c r="A99" s="71" t="s">
        <v>233</v>
      </c>
    </row>
    <row r="100" spans="1:2" x14ac:dyDescent="0.25">
      <c r="A100" s="71" t="s">
        <v>234</v>
      </c>
    </row>
    <row r="101" spans="1:2" x14ac:dyDescent="0.25">
      <c r="A101" s="71" t="s">
        <v>235</v>
      </c>
    </row>
    <row r="102" spans="1:2" x14ac:dyDescent="0.25">
      <c r="A102" s="71" t="s">
        <v>236</v>
      </c>
    </row>
    <row r="103" spans="1:2" x14ac:dyDescent="0.25">
      <c r="A103" s="71" t="s">
        <v>237</v>
      </c>
    </row>
    <row r="104" spans="1:2" x14ac:dyDescent="0.25">
      <c r="A104" s="71" t="s">
        <v>238</v>
      </c>
    </row>
    <row r="105" spans="1:2" x14ac:dyDescent="0.25">
      <c r="A105" s="71" t="s">
        <v>239</v>
      </c>
    </row>
    <row r="106" spans="1:2" x14ac:dyDescent="0.25">
      <c r="A106" s="71" t="s">
        <v>240</v>
      </c>
    </row>
    <row r="107" spans="1:2" x14ac:dyDescent="0.25">
      <c r="A107" s="71" t="s">
        <v>241</v>
      </c>
    </row>
    <row r="108" spans="1:2" x14ac:dyDescent="0.25">
      <c r="A108" s="71" t="s">
        <v>242</v>
      </c>
    </row>
    <row r="109" spans="1:2" x14ac:dyDescent="0.25">
      <c r="A109" s="71" t="s">
        <v>243</v>
      </c>
    </row>
    <row r="110" spans="1:2" x14ac:dyDescent="0.25">
      <c r="A110" s="71" t="s">
        <v>248</v>
      </c>
    </row>
    <row r="111" spans="1:2" x14ac:dyDescent="0.25">
      <c r="A111" s="71" t="s">
        <v>247</v>
      </c>
    </row>
    <row r="112" spans="1:2" x14ac:dyDescent="0.25">
      <c r="A112" s="71" t="s">
        <v>244</v>
      </c>
    </row>
    <row r="113" spans="1:3" x14ac:dyDescent="0.25">
      <c r="A113" s="71" t="s">
        <v>246</v>
      </c>
    </row>
    <row r="114" spans="1:3" x14ac:dyDescent="0.25">
      <c r="A114" s="71" t="s">
        <v>245</v>
      </c>
    </row>
    <row r="115" spans="1:3" x14ac:dyDescent="0.25">
      <c r="A115" s="66" t="s">
        <v>323</v>
      </c>
      <c r="B115" s="69" t="s">
        <v>167</v>
      </c>
      <c r="C115" s="69" t="s">
        <v>324</v>
      </c>
    </row>
    <row r="116" spans="1:3" x14ac:dyDescent="0.25">
      <c r="A116" s="66" t="s">
        <v>323</v>
      </c>
      <c r="B116" s="69" t="s">
        <v>167</v>
      </c>
      <c r="C116" s="69" t="s">
        <v>325</v>
      </c>
    </row>
    <row r="117" spans="1:3" x14ac:dyDescent="0.25">
      <c r="A117" s="66" t="s">
        <v>323</v>
      </c>
      <c r="B117" s="69" t="s">
        <v>167</v>
      </c>
      <c r="C117" s="69" t="s">
        <v>326</v>
      </c>
    </row>
    <row r="118" spans="1:3" x14ac:dyDescent="0.25">
      <c r="A118" s="66" t="s">
        <v>323</v>
      </c>
      <c r="B118" s="69" t="s">
        <v>167</v>
      </c>
      <c r="C118" s="69" t="s">
        <v>327</v>
      </c>
    </row>
    <row r="119" spans="1:3" x14ac:dyDescent="0.25">
      <c r="A119" s="66" t="s">
        <v>323</v>
      </c>
      <c r="B119" s="69" t="s">
        <v>167</v>
      </c>
      <c r="C119" s="69" t="s">
        <v>328</v>
      </c>
    </row>
    <row r="120" spans="1:3" x14ac:dyDescent="0.25">
      <c r="A120" s="66" t="s">
        <v>323</v>
      </c>
      <c r="B120" s="69" t="s">
        <v>167</v>
      </c>
      <c r="C120" s="69" t="s">
        <v>329</v>
      </c>
    </row>
    <row r="121" spans="1:3" x14ac:dyDescent="0.25">
      <c r="A121" s="66" t="s">
        <v>323</v>
      </c>
      <c r="B121" s="69" t="s">
        <v>167</v>
      </c>
      <c r="C121" s="69" t="s">
        <v>330</v>
      </c>
    </row>
    <row r="122" spans="1:3" x14ac:dyDescent="0.25">
      <c r="A122" s="66" t="s">
        <v>323</v>
      </c>
      <c r="B122" s="69" t="s">
        <v>167</v>
      </c>
      <c r="C122" s="69" t="s">
        <v>331</v>
      </c>
    </row>
    <row r="123" spans="1:3" x14ac:dyDescent="0.25">
      <c r="A123" s="66" t="s">
        <v>323</v>
      </c>
      <c r="B123" s="69" t="s">
        <v>167</v>
      </c>
      <c r="C123" s="69" t="s">
        <v>332</v>
      </c>
    </row>
    <row r="124" spans="1:3" x14ac:dyDescent="0.25">
      <c r="A124" s="66" t="s">
        <v>323</v>
      </c>
      <c r="B124" s="69" t="s">
        <v>167</v>
      </c>
      <c r="C124" s="69" t="s">
        <v>322</v>
      </c>
    </row>
    <row r="125" spans="1:3" x14ac:dyDescent="0.25">
      <c r="A125" s="66" t="s">
        <v>323</v>
      </c>
      <c r="B125" s="69" t="s">
        <v>167</v>
      </c>
      <c r="C125" s="69" t="s">
        <v>333</v>
      </c>
    </row>
    <row r="126" spans="1:3" x14ac:dyDescent="0.25">
      <c r="A126" s="66" t="s">
        <v>323</v>
      </c>
      <c r="B126" s="69" t="s">
        <v>167</v>
      </c>
      <c r="C126" s="69" t="s">
        <v>334</v>
      </c>
    </row>
    <row r="127" spans="1:3" x14ac:dyDescent="0.25">
      <c r="A127" s="66" t="s">
        <v>323</v>
      </c>
      <c r="B127" s="69" t="s">
        <v>167</v>
      </c>
      <c r="C127" s="69" t="s">
        <v>335</v>
      </c>
    </row>
    <row r="128" spans="1:3" x14ac:dyDescent="0.25">
      <c r="A128" s="66" t="s">
        <v>323</v>
      </c>
      <c r="B128" s="69" t="s">
        <v>167</v>
      </c>
      <c r="C128" s="69" t="s">
        <v>336</v>
      </c>
    </row>
    <row r="129" spans="1:3" x14ac:dyDescent="0.25">
      <c r="A129" s="66" t="s">
        <v>323</v>
      </c>
      <c r="B129" s="69" t="s">
        <v>167</v>
      </c>
      <c r="C129" s="69" t="s">
        <v>337</v>
      </c>
    </row>
    <row r="130" spans="1:3" x14ac:dyDescent="0.25">
      <c r="A130" s="66" t="s">
        <v>323</v>
      </c>
      <c r="B130" s="69" t="s">
        <v>167</v>
      </c>
      <c r="C130" s="69" t="s">
        <v>338</v>
      </c>
    </row>
    <row r="131" spans="1:3" x14ac:dyDescent="0.25">
      <c r="A131" s="66" t="s">
        <v>323</v>
      </c>
      <c r="B131" s="69" t="s">
        <v>167</v>
      </c>
      <c r="C131" s="69" t="s">
        <v>339</v>
      </c>
    </row>
    <row r="132" spans="1:3" x14ac:dyDescent="0.25">
      <c r="A132" s="66" t="s">
        <v>323</v>
      </c>
      <c r="B132" s="69" t="s">
        <v>167</v>
      </c>
      <c r="C132" s="69" t="s">
        <v>340</v>
      </c>
    </row>
    <row r="133" spans="1:3" x14ac:dyDescent="0.25">
      <c r="A133" s="66" t="s">
        <v>323</v>
      </c>
      <c r="B133" s="69" t="s">
        <v>167</v>
      </c>
      <c r="C133" s="69" t="s">
        <v>341</v>
      </c>
    </row>
    <row r="134" spans="1:3" x14ac:dyDescent="0.25">
      <c r="A134" s="66" t="s">
        <v>323</v>
      </c>
      <c r="B134" s="69" t="s">
        <v>167</v>
      </c>
      <c r="C134" s="69" t="s">
        <v>342</v>
      </c>
    </row>
    <row r="135" spans="1:3" x14ac:dyDescent="0.25">
      <c r="A135" s="66" t="s">
        <v>323</v>
      </c>
      <c r="B135" s="69" t="s">
        <v>343</v>
      </c>
      <c r="C135" s="69" t="s">
        <v>344</v>
      </c>
    </row>
    <row r="136" spans="1:3" x14ac:dyDescent="0.25">
      <c r="A136" s="66" t="s">
        <v>323</v>
      </c>
      <c r="B136" s="69" t="s">
        <v>343</v>
      </c>
      <c r="C136" s="69" t="s">
        <v>345</v>
      </c>
    </row>
    <row r="137" spans="1:3" x14ac:dyDescent="0.25">
      <c r="A137" s="66" t="s">
        <v>323</v>
      </c>
      <c r="B137" s="69" t="s">
        <v>343</v>
      </c>
      <c r="C137" s="69" t="s">
        <v>346</v>
      </c>
    </row>
    <row r="138" spans="1:3" x14ac:dyDescent="0.25">
      <c r="A138" s="66" t="s">
        <v>323</v>
      </c>
      <c r="B138" s="69" t="s">
        <v>343</v>
      </c>
      <c r="C138" s="69" t="s">
        <v>347</v>
      </c>
    </row>
    <row r="139" spans="1:3" x14ac:dyDescent="0.25">
      <c r="A139" s="66" t="s">
        <v>323</v>
      </c>
      <c r="B139" s="69" t="s">
        <v>348</v>
      </c>
      <c r="C139" s="69" t="s">
        <v>349</v>
      </c>
    </row>
    <row r="140" spans="1:3" x14ac:dyDescent="0.25">
      <c r="A140" s="66" t="s">
        <v>323</v>
      </c>
      <c r="B140" s="69" t="s">
        <v>348</v>
      </c>
      <c r="C140" s="69" t="s">
        <v>350</v>
      </c>
    </row>
    <row r="141" spans="1:3" x14ac:dyDescent="0.25">
      <c r="A141" s="66" t="s">
        <v>323</v>
      </c>
      <c r="B141" s="69" t="s">
        <v>348</v>
      </c>
      <c r="C141" s="69" t="s">
        <v>351</v>
      </c>
    </row>
    <row r="142" spans="1:3" x14ac:dyDescent="0.25">
      <c r="A142" s="66" t="s">
        <v>323</v>
      </c>
      <c r="B142" s="69" t="s">
        <v>348</v>
      </c>
      <c r="C142" s="69" t="s">
        <v>352</v>
      </c>
    </row>
    <row r="143" spans="1:3" x14ac:dyDescent="0.25">
      <c r="A143" s="70" t="s">
        <v>323</v>
      </c>
      <c r="B143" s="68" t="s">
        <v>278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9710F-8A04-41F2-8074-67F501A038BF}">
  <sheetPr codeName="Sheet19"/>
  <dimension ref="A1:B25"/>
  <sheetViews>
    <sheetView workbookViewId="0">
      <selection activeCell="B1" sqref="B1"/>
    </sheetView>
  </sheetViews>
  <sheetFormatPr defaultRowHeight="15" x14ac:dyDescent="0.25"/>
  <cols>
    <col min="1" max="1" width="9" style="68"/>
    <col min="2" max="2" width="55.25" style="68" bestFit="1" customWidth="1"/>
    <col min="3" max="16384" width="9" style="68"/>
  </cols>
  <sheetData>
    <row r="1" spans="1:2" x14ac:dyDescent="0.25">
      <c r="A1" s="68" t="s">
        <v>254</v>
      </c>
      <c r="B1" s="68" t="s">
        <v>255</v>
      </c>
    </row>
    <row r="2" spans="1:2" x14ac:dyDescent="0.25">
      <c r="A2" s="68" t="s">
        <v>187</v>
      </c>
      <c r="B2" s="68" t="s">
        <v>353</v>
      </c>
    </row>
    <row r="3" spans="1:2" x14ac:dyDescent="0.25">
      <c r="A3" s="68" t="s">
        <v>187</v>
      </c>
      <c r="B3" s="68" t="s">
        <v>354</v>
      </c>
    </row>
    <row r="4" spans="1:2" x14ac:dyDescent="0.25">
      <c r="A4" s="68" t="s">
        <v>187</v>
      </c>
      <c r="B4" s="68" t="s">
        <v>279</v>
      </c>
    </row>
    <row r="5" spans="1:2" x14ac:dyDescent="0.25">
      <c r="A5" s="68" t="s">
        <v>187</v>
      </c>
      <c r="B5" s="68" t="s">
        <v>266</v>
      </c>
    </row>
    <row r="6" spans="1:2" x14ac:dyDescent="0.25">
      <c r="A6" s="68" t="s">
        <v>187</v>
      </c>
      <c r="B6" s="68" t="s">
        <v>280</v>
      </c>
    </row>
    <row r="7" spans="1:2" x14ac:dyDescent="0.25">
      <c r="A7" s="68" t="s">
        <v>187</v>
      </c>
      <c r="B7" s="68" t="s">
        <v>268</v>
      </c>
    </row>
    <row r="8" spans="1:2" x14ac:dyDescent="0.25">
      <c r="A8" s="68" t="s">
        <v>187</v>
      </c>
      <c r="B8" s="68" t="s">
        <v>264</v>
      </c>
    </row>
    <row r="9" spans="1:2" x14ac:dyDescent="0.25">
      <c r="A9" s="68" t="s">
        <v>187</v>
      </c>
      <c r="B9" s="68" t="s">
        <v>281</v>
      </c>
    </row>
    <row r="10" spans="1:2" x14ac:dyDescent="0.25">
      <c r="A10" s="68" t="s">
        <v>187</v>
      </c>
      <c r="B10" s="68" t="s">
        <v>282</v>
      </c>
    </row>
    <row r="11" spans="1:2" x14ac:dyDescent="0.25">
      <c r="A11" s="68" t="s">
        <v>187</v>
      </c>
      <c r="B11" s="68" t="s">
        <v>283</v>
      </c>
    </row>
    <row r="12" spans="1:2" x14ac:dyDescent="0.25">
      <c r="A12" s="68" t="s">
        <v>187</v>
      </c>
      <c r="B12" s="68" t="s">
        <v>278</v>
      </c>
    </row>
    <row r="13" spans="1:2" x14ac:dyDescent="0.25">
      <c r="B13" s="68" t="s">
        <v>288</v>
      </c>
    </row>
    <row r="14" spans="1:2" x14ac:dyDescent="0.25">
      <c r="B14" s="68" t="s">
        <v>128</v>
      </c>
    </row>
    <row r="15" spans="1:2" x14ac:dyDescent="0.25">
      <c r="B15" s="68" t="s">
        <v>294</v>
      </c>
    </row>
    <row r="16" spans="1:2" x14ac:dyDescent="0.25">
      <c r="B16" s="68" t="s">
        <v>299</v>
      </c>
    </row>
    <row r="17" spans="2:2" x14ac:dyDescent="0.25">
      <c r="B17" s="68" t="s">
        <v>277</v>
      </c>
    </row>
    <row r="18" spans="2:2" x14ac:dyDescent="0.25">
      <c r="B18" s="68" t="s">
        <v>355</v>
      </c>
    </row>
    <row r="19" spans="2:2" x14ac:dyDescent="0.25">
      <c r="B19" s="68" t="s">
        <v>356</v>
      </c>
    </row>
    <row r="20" spans="2:2" x14ac:dyDescent="0.25">
      <c r="B20" s="68" t="s">
        <v>309</v>
      </c>
    </row>
    <row r="21" spans="2:2" x14ac:dyDescent="0.25">
      <c r="B21" s="68" t="s">
        <v>310</v>
      </c>
    </row>
    <row r="22" spans="2:2" x14ac:dyDescent="0.25">
      <c r="B22" s="68" t="s">
        <v>284</v>
      </c>
    </row>
    <row r="23" spans="2:2" x14ac:dyDescent="0.25">
      <c r="B23" s="68" t="s">
        <v>276</v>
      </c>
    </row>
    <row r="24" spans="2:2" x14ac:dyDescent="0.25">
      <c r="B24" s="68" t="s">
        <v>285</v>
      </c>
    </row>
    <row r="25" spans="2:2" x14ac:dyDescent="0.25">
      <c r="B25" s="68" t="s">
        <v>357</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G12"/>
  <sheetViews>
    <sheetView topLeftCell="A2" zoomScale="89" zoomScaleNormal="115" workbookViewId="0">
      <selection activeCell="B3" sqref="B3:N3"/>
    </sheetView>
  </sheetViews>
  <sheetFormatPr defaultRowHeight="15" x14ac:dyDescent="0.25"/>
  <cols>
    <col min="1" max="1" width="7.875"/>
    <col min="2" max="2" width="33.75" customWidth="1"/>
    <col min="3" max="3" width="11.75" bestFit="1" customWidth="1"/>
    <col min="4" max="4" width="10.875" bestFit="1" customWidth="1"/>
    <col min="5" max="5" width="13" bestFit="1" customWidth="1"/>
    <col min="6" max="6" width="11.25" customWidth="1"/>
    <col min="7" max="7" width="25.5" customWidth="1"/>
  </cols>
  <sheetData>
    <row r="2" spans="2:7" ht="33" x14ac:dyDescent="0.45">
      <c r="B2" s="63" t="str" cm="1">
        <f t="array" aca="1" ref="B2" ca="1">MID(CELL("filename",A1),FIND("]",CELL("filename",A1))+1,255)</f>
        <v>Category Analysis</v>
      </c>
      <c r="C2" s="63"/>
      <c r="D2" s="63"/>
      <c r="E2" s="63"/>
      <c r="F2" s="63"/>
      <c r="G2" s="63"/>
    </row>
    <row r="3" spans="2:7" ht="22.5" x14ac:dyDescent="0.3">
      <c r="B3" s="1" t="s">
        <v>169</v>
      </c>
      <c r="C3" s="1"/>
      <c r="D3" s="1"/>
      <c r="E3" s="1"/>
      <c r="F3" s="1"/>
      <c r="G3" s="1"/>
    </row>
    <row r="4" spans="2:7" ht="22.5" x14ac:dyDescent="0.3">
      <c r="B4" s="74" t="s">
        <v>170</v>
      </c>
      <c r="C4" s="74"/>
      <c r="D4" s="74"/>
      <c r="E4" s="74"/>
      <c r="F4" s="74"/>
      <c r="G4" s="74"/>
    </row>
    <row r="6" spans="2:7" x14ac:dyDescent="0.25">
      <c r="B6" s="11" t="s">
        <v>72</v>
      </c>
      <c r="C6" s="11" t="s">
        <v>73</v>
      </c>
      <c r="D6" s="11" t="s">
        <v>74</v>
      </c>
      <c r="E6" s="11" t="s">
        <v>76</v>
      </c>
      <c r="F6" s="11" t="s">
        <v>75</v>
      </c>
    </row>
    <row r="7" spans="2:7" x14ac:dyDescent="0.25">
      <c r="B7" s="11" t="s">
        <v>67</v>
      </c>
      <c r="C7" s="32">
        <f>'Paycheck Allocation, Budgeted'!D23</f>
        <v>6922.5</v>
      </c>
      <c r="D7" s="18">
        <f>'Paycheck Allocation, Actual'!D23</f>
        <v>0</v>
      </c>
      <c r="E7" s="18">
        <f>CATEGORY[[#This Row],[ACTUAL]]-CATEGORY[[#This Row],[BUDGETED]]</f>
        <v>-6922.5</v>
      </c>
      <c r="F7" s="11" t="str">
        <f>IF(CATEGORY[[#This Row],[VARIANCE]]&gt;0,"U","F")</f>
        <v>F</v>
      </c>
    </row>
    <row r="8" spans="2:7" x14ac:dyDescent="0.25">
      <c r="B8" s="11" t="s">
        <v>79</v>
      </c>
      <c r="C8" s="32">
        <f>'Paycheck Allocation, Budgeted'!I23</f>
        <v>556.82100000000003</v>
      </c>
      <c r="D8" s="18">
        <f>'Paycheck Allocation, Actual'!I23</f>
        <v>0</v>
      </c>
      <c r="E8" s="18">
        <f>CATEGORY[[#This Row],[ACTUAL]]-CATEGORY[[#This Row],[BUDGETED]]</f>
        <v>-556.82100000000003</v>
      </c>
      <c r="F8" s="11" t="str">
        <f>IF(CATEGORY[[#This Row],[VARIANCE]]&lt;0,"U","F")</f>
        <v>U</v>
      </c>
    </row>
    <row r="9" spans="2:7" x14ac:dyDescent="0.25">
      <c r="B9" s="11" t="s">
        <v>77</v>
      </c>
      <c r="C9" s="32">
        <f>'Paycheck Allocation, Budgeted'!L23</f>
        <v>2227.2840000000001</v>
      </c>
      <c r="D9" s="18">
        <f>'Paycheck Allocation, Actual'!L23</f>
        <v>0</v>
      </c>
      <c r="E9" s="18">
        <f>CATEGORY[[#This Row],[ACTUAL]]-CATEGORY[[#This Row],[BUDGETED]]</f>
        <v>-2227.2840000000001</v>
      </c>
      <c r="F9" s="11" t="str">
        <f>IF(CATEGORY[[#This Row],[VARIANCE]]&lt;0,"U","F")</f>
        <v>U</v>
      </c>
    </row>
    <row r="10" spans="2:7" x14ac:dyDescent="0.25">
      <c r="B10" s="11" t="s">
        <v>78</v>
      </c>
      <c r="C10" s="32">
        <f>'Paycheck Allocation, Budgeted'!M23</f>
        <v>779.54940000000011</v>
      </c>
      <c r="D10" s="18">
        <f>'Paycheck Allocation, Actual'!M23</f>
        <v>0</v>
      </c>
      <c r="E10" s="18">
        <f>CATEGORY[[#This Row],[ACTUAL]]-CATEGORY[[#This Row],[BUDGETED]]</f>
        <v>-779.54940000000011</v>
      </c>
      <c r="F10" s="11" t="str">
        <f>IF(CATEGORY[[#This Row],[VARIANCE]]&lt;0,"U","F")</f>
        <v>U</v>
      </c>
    </row>
    <row r="11" spans="2:7" x14ac:dyDescent="0.25">
      <c r="B11" s="12" t="s">
        <v>80</v>
      </c>
      <c r="C11" s="31">
        <f>'Paycheck Allocation, Budgeted'!N23</f>
        <v>54.920000000000073</v>
      </c>
      <c r="D11" s="24">
        <f>'Paycheck Allocation, Actual'!N23</f>
        <v>0</v>
      </c>
      <c r="E11" s="24">
        <f>CATEGORY[[#This Row],[ACTUAL]]-CATEGORY[[#This Row],[BUDGETED]]</f>
        <v>-54.920000000000073</v>
      </c>
      <c r="F11" s="11" t="str">
        <f>IF(CATEGORY[[#This Row],[VARIANCE]]&lt;0,"U","F")</f>
        <v>U</v>
      </c>
    </row>
    <row r="12" spans="2:7" ht="15.75" thickBot="1" x14ac:dyDescent="0.3">
      <c r="B12" s="8" t="s">
        <v>81</v>
      </c>
      <c r="C12" s="60"/>
      <c r="D12" s="60"/>
      <c r="E12" s="60"/>
      <c r="F12" s="59">
        <f>SUBTOTAL(103,CATEGORY[CONDITION])</f>
        <v>5</v>
      </c>
    </row>
  </sheetData>
  <mergeCells count="1">
    <mergeCell ref="B4:G4"/>
  </mergeCells>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01C68-9CFC-45F6-ACCC-714F06BEC8F3}">
  <sheetPr codeName="Sheet20"/>
  <dimension ref="B2:C18"/>
  <sheetViews>
    <sheetView topLeftCell="A2" zoomScale="89" workbookViewId="0">
      <selection activeCell="C10" sqref="C10"/>
    </sheetView>
  </sheetViews>
  <sheetFormatPr defaultColWidth="9" defaultRowHeight="15" x14ac:dyDescent="0.25"/>
  <cols>
    <col min="1" max="1" width="9" style="56"/>
    <col min="2" max="2" width="19.5" style="56" bestFit="1" customWidth="1"/>
    <col min="3" max="3" width="10.125" style="56" customWidth="1"/>
    <col min="4" max="4" width="9" style="56"/>
    <col min="5" max="5" width="9.5" style="56" customWidth="1"/>
    <col min="6" max="6" width="9" style="56" customWidth="1"/>
    <col min="7" max="16384" width="9" style="56"/>
  </cols>
  <sheetData>
    <row r="2" spans="2:3" ht="33" x14ac:dyDescent="0.45">
      <c r="B2" s="64" t="str" cm="1">
        <f t="array" aca="1" ref="B2" ca="1">MID(CELL("filename",A1),FIND("]",CELL("filename",A1))+1,255)</f>
        <v>Monthly Minimums</v>
      </c>
    </row>
    <row r="3" spans="2:3" ht="22.5" x14ac:dyDescent="0.3">
      <c r="B3" s="58" t="s">
        <v>20</v>
      </c>
    </row>
    <row r="4" spans="2:3" ht="22.5" x14ac:dyDescent="0.3">
      <c r="B4" s="58" t="s">
        <v>21</v>
      </c>
    </row>
    <row r="6" spans="2:3" x14ac:dyDescent="0.25">
      <c r="B6" s="57" t="s">
        <v>22</v>
      </c>
    </row>
    <row r="8" spans="2:3" x14ac:dyDescent="0.25">
      <c r="B8" s="56" t="s">
        <v>150</v>
      </c>
      <c r="C8" s="56" t="s">
        <v>149</v>
      </c>
    </row>
    <row r="9" spans="2:3" x14ac:dyDescent="0.25">
      <c r="B9" s="56" t="s">
        <v>148</v>
      </c>
      <c r="C9" s="56">
        <v>1543</v>
      </c>
    </row>
    <row r="10" spans="2:3" x14ac:dyDescent="0.25">
      <c r="B10" s="56" t="s">
        <v>147</v>
      </c>
      <c r="C10" s="56">
        <v>551</v>
      </c>
    </row>
    <row r="11" spans="2:3" x14ac:dyDescent="0.25">
      <c r="B11" s="56" t="s">
        <v>146</v>
      </c>
      <c r="C11" s="56">
        <v>165</v>
      </c>
    </row>
    <row r="12" spans="2:3" x14ac:dyDescent="0.25">
      <c r="B12" s="56" t="s">
        <v>145</v>
      </c>
      <c r="C12" s="56">
        <v>150</v>
      </c>
    </row>
    <row r="13" spans="2:3" x14ac:dyDescent="0.25">
      <c r="B13" s="56" t="s">
        <v>144</v>
      </c>
      <c r="C13" s="56">
        <v>55</v>
      </c>
    </row>
    <row r="14" spans="2:3" x14ac:dyDescent="0.25">
      <c r="B14" s="56" t="s">
        <v>143</v>
      </c>
      <c r="C14" s="56">
        <v>25</v>
      </c>
    </row>
    <row r="15" spans="2:3" x14ac:dyDescent="0.25">
      <c r="B15" s="56" t="s">
        <v>142</v>
      </c>
      <c r="C15" s="56">
        <v>25</v>
      </c>
    </row>
    <row r="17" spans="2:3" x14ac:dyDescent="0.25">
      <c r="B17" s="56" t="s">
        <v>141</v>
      </c>
      <c r="C17" s="56">
        <v>395</v>
      </c>
    </row>
    <row r="18" spans="2:3" x14ac:dyDescent="0.25">
      <c r="B18" s="56" t="s">
        <v>140</v>
      </c>
      <c r="C18" s="56">
        <v>177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H20"/>
  <sheetViews>
    <sheetView zoomScale="65" workbookViewId="0">
      <selection activeCell="B2" sqref="B2:G19"/>
    </sheetView>
  </sheetViews>
  <sheetFormatPr defaultRowHeight="15" x14ac:dyDescent="0.25"/>
  <cols>
    <col min="1" max="1" width="7.875"/>
    <col min="2" max="2" width="19.5" bestFit="1" customWidth="1"/>
    <col min="3" max="3" width="12.375" customWidth="1"/>
    <col min="4" max="4" width="20.625" customWidth="1"/>
    <col min="5" max="5" width="19.5" customWidth="1"/>
    <col min="6" max="6" width="17.75" customWidth="1"/>
    <col min="7" max="7" width="25.5" customWidth="1"/>
    <col min="8" max="8" width="17.25" customWidth="1"/>
  </cols>
  <sheetData>
    <row r="2" spans="2:8" ht="33" x14ac:dyDescent="0.45">
      <c r="B2" s="63" t="str" cm="1">
        <f t="array" aca="1" ref="B2" ca="1">MID(CELL("filename",A1),FIND("]",CELL("filename",A1))+1,255)</f>
        <v>Statement of Cash Flows, FY26</v>
      </c>
      <c r="C2" s="63"/>
      <c r="D2" s="63"/>
      <c r="E2" s="63"/>
      <c r="F2" s="63"/>
      <c r="G2" s="63"/>
    </row>
    <row r="3" spans="2:8" ht="22.5" x14ac:dyDescent="0.3">
      <c r="B3" s="74" t="s">
        <v>63</v>
      </c>
      <c r="C3" s="74"/>
      <c r="D3" s="74"/>
      <c r="E3" s="74"/>
      <c r="F3" s="74"/>
      <c r="G3" s="74"/>
    </row>
    <row r="4" spans="2:8" ht="22.5" x14ac:dyDescent="0.3">
      <c r="B4" s="74" t="s">
        <v>64</v>
      </c>
      <c r="C4" s="74"/>
      <c r="D4" s="74"/>
      <c r="E4" s="74"/>
      <c r="F4" s="74"/>
      <c r="G4" s="74"/>
    </row>
    <row r="6" spans="2:8" x14ac:dyDescent="0.25">
      <c r="B6" s="9" t="s">
        <v>65</v>
      </c>
      <c r="C6" s="9" t="s">
        <v>66</v>
      </c>
      <c r="D6" s="10" t="s">
        <v>67</v>
      </c>
      <c r="E6" s="9" t="s">
        <v>68</v>
      </c>
      <c r="F6" s="10" t="s">
        <v>69</v>
      </c>
      <c r="G6" s="14" t="s">
        <v>70</v>
      </c>
      <c r="H6" s="11" t="s">
        <v>87</v>
      </c>
    </row>
    <row r="7" spans="2:8" x14ac:dyDescent="0.25">
      <c r="B7" s="21" t="str">
        <f t="shared" ref="B7:B18" si="0">UPPER(TEXT(DATE(2025,ROW()-1,1),"MMM YY"))</f>
        <v>JUN 25</v>
      </c>
      <c r="C7" s="61">
        <f>SUMIF(ALLOCATION[[#All],[PAY DATE]],SCFmonthly[[#This Row],[MONTH]],ALLOCATION[[#All],[NET PAY]])</f>
        <v>0</v>
      </c>
      <c r="D7" s="15">
        <f>SUMIF(ALLOCATION[[#All],[PAY DATE]],MONTH(SCFmonthly[[#This Row],[MONTH]]),ALLOCATION[[#All],[FIXED OBLIGATIONS]])</f>
        <v>0</v>
      </c>
      <c r="E7" s="15">
        <f>SUMIF(ALLOCATION[[#All],[FIXED OBLIGATIONS]],SCFmonthly[[#This Row],[FIXED OBLIGATIONS]],ALLOCATION[[#All],[DEBT EXT MIN]])</f>
        <v>0</v>
      </c>
      <c r="F7" s="16">
        <f>D7+E7</f>
        <v>0</v>
      </c>
      <c r="G7" s="17">
        <f>C7-F7</f>
        <v>0</v>
      </c>
      <c r="H7" s="25" t="e" vm="1">
        <f ca="1">SCFmonthly[[#This Row],[NET SURPLUS (DEFICIT)]]-OFFSET(SCFmonthly[[#This Row],[NET SURPLUS (DEFICIT)]],-1,0)</f>
        <v>#VALUE!</v>
      </c>
    </row>
    <row r="8" spans="2:8" x14ac:dyDescent="0.25">
      <c r="B8" s="22" t="str">
        <f t="shared" si="0"/>
        <v>JUL 25</v>
      </c>
      <c r="C8" s="18">
        <v>0</v>
      </c>
      <c r="D8" s="19">
        <f>SUMIF(ALLOCATION[[#All],[PAY DATE]],MONTH(SCFmonthly[[#This Row],[MONTH]]),ALLOCATION[[#All],[FIXED OBLIGATIONS]])</f>
        <v>0</v>
      </c>
      <c r="E8" s="18"/>
      <c r="F8" s="19"/>
      <c r="G8" s="20"/>
      <c r="H8" s="25">
        <f ca="1">SCFmonthly[[#This Row],[NET SURPLUS (DEFICIT)]]-OFFSET(SCFmonthly[[#This Row],[NET SURPLUS (DEFICIT)]],-1,0)</f>
        <v>0</v>
      </c>
    </row>
    <row r="9" spans="2:8" x14ac:dyDescent="0.25">
      <c r="B9" s="22" t="str">
        <f t="shared" si="0"/>
        <v>AUG 25</v>
      </c>
      <c r="C9" s="18">
        <f>SUMIF(ALLOCATION[[#All],[PAY DATE]],SCFmonthly[[#This Row],[MONTH]],ALLOCATION[[#All],[NET PAY]])</f>
        <v>0</v>
      </c>
      <c r="D9" s="19">
        <f>SUMIF(ALLOCATION[[#All],[PAY DATE]],MONTH(SCFmonthly[[#This Row],[MONTH]]),ALLOCATION[[#All],[FIXED OBLIGATIONS]])</f>
        <v>0</v>
      </c>
      <c r="E9" s="18"/>
      <c r="F9" s="19"/>
      <c r="G9" s="20"/>
      <c r="H9" s="25">
        <f ca="1">SCFmonthly[[#This Row],[NET SURPLUS (DEFICIT)]]-OFFSET(SCFmonthly[[#This Row],[NET SURPLUS (DEFICIT)]],-1,0)</f>
        <v>0</v>
      </c>
    </row>
    <row r="10" spans="2:8" x14ac:dyDescent="0.25">
      <c r="B10" s="22" t="str">
        <f t="shared" si="0"/>
        <v>SEP 25</v>
      </c>
      <c r="C10" s="18">
        <f>SUMIF(ALLOCATION[[#All],[PAY DATE]],SCFmonthly[[#This Row],[MONTH]],ALLOCATION[[#All],[NET PAY]])</f>
        <v>0</v>
      </c>
      <c r="D10" s="19">
        <f>SUMIF(ALLOCATION[[#All],[PAY DATE]],MONTH(SCFmonthly[[#This Row],[MONTH]]),ALLOCATION[[#All],[FIXED OBLIGATIONS]])</f>
        <v>0</v>
      </c>
      <c r="E10" s="18"/>
      <c r="F10" s="19"/>
      <c r="G10" s="20"/>
      <c r="H10" s="25">
        <f ca="1">SCFmonthly[[#This Row],[NET SURPLUS (DEFICIT)]]-OFFSET(SCFmonthly[[#This Row],[NET SURPLUS (DEFICIT)]],-1,0)</f>
        <v>0</v>
      </c>
    </row>
    <row r="11" spans="2:8" x14ac:dyDescent="0.25">
      <c r="B11" s="22" t="str">
        <f t="shared" si="0"/>
        <v>OCT 25</v>
      </c>
      <c r="C11" s="18">
        <f>SUMIF(ALLOCATION[[#All],[PAY DATE]],SCFmonthly[[#This Row],[MONTH]],ALLOCATION[[#All],[NET PAY]])</f>
        <v>0</v>
      </c>
      <c r="D11" s="19">
        <f>SUMIF(ALLOCATION[[#All],[PAY DATE]],MONTH(SCFmonthly[[#This Row],[MONTH]]),ALLOCATION[[#All],[FIXED OBLIGATIONS]])</f>
        <v>0</v>
      </c>
      <c r="E11" s="18"/>
      <c r="F11" s="19"/>
      <c r="G11" s="20"/>
      <c r="H11" s="25">
        <f ca="1">SCFmonthly[[#This Row],[NET SURPLUS (DEFICIT)]]-OFFSET(SCFmonthly[[#This Row],[NET SURPLUS (DEFICIT)]],-1,0)</f>
        <v>0</v>
      </c>
    </row>
    <row r="12" spans="2:8" x14ac:dyDescent="0.25">
      <c r="B12" s="22" t="str">
        <f t="shared" si="0"/>
        <v>NOV 25</v>
      </c>
      <c r="C12" s="18">
        <f>SUMIF(ALLOCATION[[#All],[PAY DATE]],SCFmonthly[[#This Row],[MONTH]],ALLOCATION[[#All],[NET PAY]])</f>
        <v>0</v>
      </c>
      <c r="D12" s="19">
        <f>SUMIF(ALLOCATION[[#All],[PAY DATE]],MONTH(SCFmonthly[[#This Row],[MONTH]]),ALLOCATION[[#All],[FIXED OBLIGATIONS]])</f>
        <v>0</v>
      </c>
      <c r="E12" s="18"/>
      <c r="F12" s="19"/>
      <c r="G12" s="20"/>
      <c r="H12" s="25">
        <f ca="1">SCFmonthly[[#This Row],[NET SURPLUS (DEFICIT)]]-OFFSET(SCFmonthly[[#This Row],[NET SURPLUS (DEFICIT)]],-1,0)</f>
        <v>0</v>
      </c>
    </row>
    <row r="13" spans="2:8" x14ac:dyDescent="0.25">
      <c r="B13" s="22" t="str">
        <f t="shared" si="0"/>
        <v>DEC 25</v>
      </c>
      <c r="C13" s="18">
        <f>SUMIF(ALLOCATION[[#All],[PAY DATE]],SCFmonthly[[#This Row],[MONTH]],ALLOCATION[[#All],[NET PAY]])</f>
        <v>0</v>
      </c>
      <c r="D13" s="19">
        <f>SUMIF(ALLOCATION[[#All],[PAY DATE]],MONTH(SCFmonthly[[#This Row],[MONTH]]),ALLOCATION[[#All],[FIXED OBLIGATIONS]])</f>
        <v>0</v>
      </c>
      <c r="E13" s="18"/>
      <c r="F13" s="19"/>
      <c r="G13" s="20"/>
      <c r="H13" s="25">
        <f ca="1">SCFmonthly[[#This Row],[NET SURPLUS (DEFICIT)]]-OFFSET(SCFmonthly[[#This Row],[NET SURPLUS (DEFICIT)]],-1,0)</f>
        <v>0</v>
      </c>
    </row>
    <row r="14" spans="2:8" x14ac:dyDescent="0.25">
      <c r="B14" s="22" t="str">
        <f t="shared" si="0"/>
        <v>JAN 26</v>
      </c>
      <c r="C14" s="18">
        <f>SUMIF(ALLOCATION[[#All],[PAY DATE]],SCFmonthly[[#This Row],[MONTH]],ALLOCATION[[#All],[NET PAY]])</f>
        <v>0</v>
      </c>
      <c r="D14" s="19">
        <f>SUMIF(ALLOCATION[[#All],[PAY DATE]],MONTH(SCFmonthly[[#This Row],[MONTH]]),ALLOCATION[[#All],[FIXED OBLIGATIONS]])</f>
        <v>0</v>
      </c>
      <c r="E14" s="18"/>
      <c r="F14" s="19"/>
      <c r="G14" s="20"/>
      <c r="H14" s="25">
        <f ca="1">SCFmonthly[[#This Row],[NET SURPLUS (DEFICIT)]]-OFFSET(SCFmonthly[[#This Row],[NET SURPLUS (DEFICIT)]],-1,0)</f>
        <v>0</v>
      </c>
    </row>
    <row r="15" spans="2:8" x14ac:dyDescent="0.25">
      <c r="B15" s="22" t="str">
        <f t="shared" si="0"/>
        <v>FEB 26</v>
      </c>
      <c r="C15" s="18">
        <f>SUMIF(ALLOCATION[[#All],[PAY DATE]],SCFmonthly[[#This Row],[MONTH]],ALLOCATION[[#All],[NET PAY]])</f>
        <v>0</v>
      </c>
      <c r="D15" s="19">
        <f>SUMIF(ALLOCATION[[#All],[PAY DATE]],MONTH(SCFmonthly[[#This Row],[MONTH]]),ALLOCATION[[#All],[FIXED OBLIGATIONS]])</f>
        <v>0</v>
      </c>
      <c r="E15" s="18"/>
      <c r="F15" s="19"/>
      <c r="G15" s="20"/>
      <c r="H15" s="25">
        <f ca="1">SCFmonthly[[#This Row],[NET SURPLUS (DEFICIT)]]-OFFSET(SCFmonthly[[#This Row],[NET SURPLUS (DEFICIT)]],-1,0)</f>
        <v>0</v>
      </c>
    </row>
    <row r="16" spans="2:8" x14ac:dyDescent="0.25">
      <c r="B16" s="22" t="str">
        <f t="shared" si="0"/>
        <v>MAR 26</v>
      </c>
      <c r="C16" s="18">
        <f>SUMIF(ALLOCATION[[#All],[PAY DATE]],SCFmonthly[[#This Row],[MONTH]],ALLOCATION[[#All],[NET PAY]])</f>
        <v>0</v>
      </c>
      <c r="D16" s="19">
        <f>SUMIF(ALLOCATION[[#All],[PAY DATE]],MONTH(SCFmonthly[[#This Row],[MONTH]]),ALLOCATION[[#All],[FIXED OBLIGATIONS]])</f>
        <v>0</v>
      </c>
      <c r="E16" s="18"/>
      <c r="F16" s="19"/>
      <c r="G16" s="20"/>
      <c r="H16" s="25">
        <f ca="1">SCFmonthly[[#This Row],[NET SURPLUS (DEFICIT)]]-OFFSET(SCFmonthly[[#This Row],[NET SURPLUS (DEFICIT)]],-1,0)</f>
        <v>0</v>
      </c>
    </row>
    <row r="17" spans="2:8" x14ac:dyDescent="0.25">
      <c r="B17" s="22" t="str">
        <f t="shared" si="0"/>
        <v>APR 26</v>
      </c>
      <c r="C17" s="18">
        <f>SUMIF(ALLOCATION[[#All],[PAY DATE]],SCFmonthly[[#This Row],[MONTH]],ALLOCATION[[#All],[NET PAY]])</f>
        <v>0</v>
      </c>
      <c r="D17" s="19">
        <f>SUMIF(ALLOCATION[[#All],[PAY DATE]],MONTH(SCFmonthly[[#This Row],[MONTH]]),ALLOCATION[[#All],[FIXED OBLIGATIONS]])</f>
        <v>0</v>
      </c>
      <c r="E17" s="18"/>
      <c r="F17" s="19"/>
      <c r="G17" s="20"/>
      <c r="H17" s="25">
        <f ca="1">SCFmonthly[[#This Row],[NET SURPLUS (DEFICIT)]]-OFFSET(SCFmonthly[[#This Row],[NET SURPLUS (DEFICIT)]],-1,0)</f>
        <v>0</v>
      </c>
    </row>
    <row r="18" spans="2:8" x14ac:dyDescent="0.25">
      <c r="B18" s="22" t="str">
        <f t="shared" si="0"/>
        <v>MAY 26</v>
      </c>
      <c r="C18" s="18">
        <f>SUMIF(ALLOCATION[[#All],[PAY DATE]],SCFmonthly[[#This Row],[MONTH]],ALLOCATION[[#All],[NET PAY]])</f>
        <v>0</v>
      </c>
      <c r="D18" s="19">
        <f>SUMIF(ALLOCATION[[#All],[PAY DATE]],MONTH(SCFmonthly[[#This Row],[MONTH]]),ALLOCATION[[#All],[FIXED OBLIGATIONS]])</f>
        <v>0</v>
      </c>
      <c r="E18" s="18"/>
      <c r="F18" s="19"/>
      <c r="G18" s="20"/>
      <c r="H18" s="25">
        <f ca="1">SCFmonthly[[#This Row],[NET SURPLUS (DEFICIT)]]-OFFSET(SCFmonthly[[#This Row],[NET SURPLUS (DEFICIT)]],-1,0)</f>
        <v>0</v>
      </c>
    </row>
    <row r="19" spans="2:8" ht="15.75" thickBot="1" x14ac:dyDescent="0.3">
      <c r="B19" s="13" t="s">
        <v>71</v>
      </c>
      <c r="C19" s="27">
        <f>SUBTOTAL(109,SCFmonthly[NET INCOME])</f>
        <v>0</v>
      </c>
      <c r="D19" s="28">
        <f>SUBTOTAL(109,SCFmonthly[FIXED OBLIGATIONS])</f>
        <v>0</v>
      </c>
      <c r="E19" s="27">
        <f>SUBTOTAL(109,SCFmonthly[CREDIT ALLOWANCE])</f>
        <v>0</v>
      </c>
      <c r="F19" s="28">
        <f>SUBTOTAL(109,SCFmonthly[TOTAL EXPENSES])</f>
        <v>0</v>
      </c>
      <c r="G19" s="29">
        <f>SUBTOTAL(109,SCFmonthly[NET SURPLUS (DEFICIT)])</f>
        <v>0</v>
      </c>
      <c r="H19" s="26"/>
    </row>
    <row r="20" spans="2:8" ht="15.75" thickTop="1" x14ac:dyDescent="0.25"/>
  </sheetData>
  <mergeCells count="2">
    <mergeCell ref="B3:G3"/>
    <mergeCell ref="B4:G4"/>
  </mergeCells>
  <phoneticPr fontId="9" type="noConversion"/>
  <pageMargins left="0.75" right="0.75" top="1" bottom="1" header="0.5" footer="0.5"/>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3502B-504A-4BD6-B703-DF0E88448823}">
  <sheetPr codeName="Sheet21"/>
  <dimension ref="B2:F67"/>
  <sheetViews>
    <sheetView showGridLines="0" topLeftCell="A7" workbookViewId="0">
      <selection activeCell="D10" sqref="D10"/>
    </sheetView>
  </sheetViews>
  <sheetFormatPr defaultColWidth="9" defaultRowHeight="15" x14ac:dyDescent="0.25"/>
  <cols>
    <col min="1" max="1" width="9" style="56"/>
    <col min="2" max="2" width="19.5" style="56" bestFit="1" customWidth="1"/>
    <col min="3" max="3" width="10.125" style="56" customWidth="1"/>
    <col min="4" max="4" width="9" style="56"/>
    <col min="5" max="5" width="9.5" style="56" customWidth="1"/>
    <col min="6" max="6" width="9" style="56" customWidth="1"/>
    <col min="7" max="16384" width="9" style="56"/>
  </cols>
  <sheetData>
    <row r="2" spans="2:6" ht="33" x14ac:dyDescent="0.45">
      <c r="B2" s="64" t="str" cm="1">
        <f t="array" aca="1" ref="B2" ca="1">MID(CELL("filename",A1),FIND("]",CELL("filename",A1))+1,255)</f>
        <v>Statement of Cash Flows</v>
      </c>
    </row>
    <row r="3" spans="2:6" ht="22.5" x14ac:dyDescent="0.3">
      <c r="B3" s="58" t="s">
        <v>20</v>
      </c>
    </row>
    <row r="4" spans="2:6" ht="22.5" x14ac:dyDescent="0.3">
      <c r="B4" s="58" t="s">
        <v>21</v>
      </c>
    </row>
    <row r="6" spans="2:6" x14ac:dyDescent="0.25">
      <c r="B6" s="57" t="s">
        <v>22</v>
      </c>
    </row>
    <row r="8" spans="2:6" x14ac:dyDescent="0.25">
      <c r="B8" s="56" t="s">
        <v>11</v>
      </c>
      <c r="C8" s="56" t="s">
        <v>23</v>
      </c>
      <c r="D8" s="56" t="s">
        <v>13</v>
      </c>
      <c r="E8" s="56" t="s">
        <v>14</v>
      </c>
      <c r="F8" s="56" t="s">
        <v>24</v>
      </c>
    </row>
    <row r="9" spans="2:6" x14ac:dyDescent="0.25">
      <c r="B9" s="56" t="s">
        <v>25</v>
      </c>
      <c r="C9" s="56">
        <f>SUBTOTAL(9,C11:C11)</f>
        <v>1543</v>
      </c>
      <c r="D9" s="56">
        <f>SUBTOTAL(9,D11:D11)</f>
        <v>0</v>
      </c>
      <c r="E9" s="56">
        <f>Variance[[#This Row],[Actual Amount]]-Variance[[#This Row],[Budgeted Amount]]</f>
        <v>-1543</v>
      </c>
      <c r="F9" s="56" t="str">
        <f>IF(E9&gt;=0,"F","U")</f>
        <v>U</v>
      </c>
    </row>
    <row r="10" spans="2:6" x14ac:dyDescent="0.25">
      <c r="B10" s="73" t="s">
        <v>358</v>
      </c>
      <c r="C10" s="56">
        <v>250</v>
      </c>
    </row>
    <row r="11" spans="2:6" x14ac:dyDescent="0.25">
      <c r="B11" s="56" t="s">
        <v>0</v>
      </c>
      <c r="C11" s="56">
        <f>'Monthly Minimums'!C9</f>
        <v>1543</v>
      </c>
      <c r="D11" s="56">
        <v>0</v>
      </c>
      <c r="E11" s="56">
        <f>Variance[[#This Row],[Actual Amount]]-Variance[[#This Row],[Budgeted Amount]]</f>
        <v>-1543</v>
      </c>
      <c r="F11" s="56" t="str">
        <f>IF(E11&gt;=0,"F","U")</f>
        <v>U</v>
      </c>
    </row>
    <row r="13" spans="2:6" x14ac:dyDescent="0.25">
      <c r="B13" s="56" t="s">
        <v>26</v>
      </c>
      <c r="C13" s="56">
        <f>SUBTOTAL(9,C14:C17)</f>
        <v>866</v>
      </c>
      <c r="D13" s="56">
        <f>SUBTOTAL(9,D14:D17)</f>
        <v>0</v>
      </c>
      <c r="E13" s="56">
        <f>Variance[[#This Row],[Actual Amount]]-Variance[[#This Row],[Budgeted Amount]]</f>
        <v>-866</v>
      </c>
      <c r="F13" s="56" t="str">
        <f>IF(Variance[[#This Row],[Variance]]&lt;=0,"F","U")</f>
        <v>F</v>
      </c>
    </row>
    <row r="14" spans="2:6" x14ac:dyDescent="0.25">
      <c r="B14" s="56" t="s">
        <v>27</v>
      </c>
      <c r="C14" s="56">
        <f>'Monthly Minimums'!C10</f>
        <v>551</v>
      </c>
      <c r="D14" s="56">
        <v>0</v>
      </c>
      <c r="E14" s="56">
        <f>Variance[[#This Row],[Actual Amount]]-Variance[[#This Row],[Budgeted Amount]]</f>
        <v>-551</v>
      </c>
      <c r="F14" s="56" t="str">
        <f>IF(Variance[[#This Row],[Variance]]&lt;=0,"F","U")</f>
        <v>F</v>
      </c>
    </row>
    <row r="15" spans="2:6" x14ac:dyDescent="0.25">
      <c r="B15" s="56" t="s">
        <v>28</v>
      </c>
    </row>
    <row r="16" spans="2:6" x14ac:dyDescent="0.25">
      <c r="B16" s="56" t="s">
        <v>29</v>
      </c>
      <c r="C16" s="56">
        <f>'Monthly Minimums'!C11</f>
        <v>165</v>
      </c>
      <c r="D16" s="56">
        <v>0</v>
      </c>
      <c r="E16" s="56">
        <f>Variance[[#This Row],[Actual Amount]]-Variance[[#This Row],[Budgeted Amount]]</f>
        <v>-165</v>
      </c>
      <c r="F16" s="56" t="str">
        <f>IF(Variance[[#This Row],[Variance]]&lt;=0,"F","U")</f>
        <v>F</v>
      </c>
    </row>
    <row r="17" spans="2:6" x14ac:dyDescent="0.25">
      <c r="B17" s="56" t="s">
        <v>30</v>
      </c>
      <c r="C17" s="56">
        <f>'Monthly Minimums'!C12</f>
        <v>150</v>
      </c>
      <c r="D17" s="56">
        <v>0</v>
      </c>
      <c r="E17" s="56">
        <f>Variance[[#This Row],[Actual Amount]]-Variance[[#This Row],[Budgeted Amount]]</f>
        <v>-150</v>
      </c>
      <c r="F17" s="56" t="str">
        <f>IF(Variance[[#This Row],[Variance]]&lt;=0,"F","U")</f>
        <v>F</v>
      </c>
    </row>
    <row r="18" spans="2:6" x14ac:dyDescent="0.25">
      <c r="B18" s="56" t="s">
        <v>31</v>
      </c>
      <c r="C18" s="56">
        <f>'Monthly Minimums'!C13</f>
        <v>55</v>
      </c>
      <c r="D18" s="56">
        <v>0</v>
      </c>
      <c r="E18" s="56">
        <f>Variance[[#This Row],[Actual Amount]]-Variance[[#This Row],[Budgeted Amount]]</f>
        <v>-55</v>
      </c>
      <c r="F18" s="56" t="str">
        <f>IF(Variance[[#This Row],[Variance]]&lt;=0,"F","U")</f>
        <v>F</v>
      </c>
    </row>
    <row r="19" spans="2:6" x14ac:dyDescent="0.25">
      <c r="B19" s="73" t="s">
        <v>359</v>
      </c>
      <c r="C19" s="56">
        <v>175</v>
      </c>
    </row>
    <row r="20" spans="2:6" x14ac:dyDescent="0.25">
      <c r="B20" s="56" t="s">
        <v>32</v>
      </c>
    </row>
    <row r="22" spans="2:6" x14ac:dyDescent="0.25">
      <c r="B22" s="56" t="s">
        <v>33</v>
      </c>
      <c r="C22" s="56">
        <f>C9-C13</f>
        <v>677</v>
      </c>
      <c r="D22" s="56">
        <f>D9-D13</f>
        <v>0</v>
      </c>
      <c r="E22" s="56">
        <f>E9-E13</f>
        <v>-677</v>
      </c>
      <c r="F22" s="56" t="str">
        <f>IF(E22&gt;=0,"F","U")</f>
        <v>U</v>
      </c>
    </row>
    <row r="24" spans="2:6" x14ac:dyDescent="0.25">
      <c r="B24" s="56" t="s">
        <v>34</v>
      </c>
    </row>
    <row r="26" spans="2:6" x14ac:dyDescent="0.25">
      <c r="B26" s="56" t="s">
        <v>35</v>
      </c>
    </row>
    <row r="28" spans="2:6" x14ac:dyDescent="0.25">
      <c r="B28" s="56" t="s">
        <v>36</v>
      </c>
    </row>
    <row r="30" spans="2:6" x14ac:dyDescent="0.25">
      <c r="B30" s="56" t="s">
        <v>37</v>
      </c>
    </row>
    <row r="31" spans="2:6" x14ac:dyDescent="0.25">
      <c r="B31" s="56" t="s">
        <v>38</v>
      </c>
    </row>
    <row r="32" spans="2:6" x14ac:dyDescent="0.25">
      <c r="B32" s="56" t="s">
        <v>39</v>
      </c>
    </row>
    <row r="33" spans="2:2" x14ac:dyDescent="0.25">
      <c r="B33" s="56" t="s">
        <v>40</v>
      </c>
    </row>
    <row r="35" spans="2:2" x14ac:dyDescent="0.25">
      <c r="B35" s="56" t="s">
        <v>41</v>
      </c>
    </row>
    <row r="36" spans="2:2" x14ac:dyDescent="0.25">
      <c r="B36" s="56" t="s">
        <v>42</v>
      </c>
    </row>
    <row r="38" spans="2:2" x14ac:dyDescent="0.25">
      <c r="B38" s="56" t="s">
        <v>43</v>
      </c>
    </row>
    <row r="40" spans="2:2" x14ac:dyDescent="0.25">
      <c r="B40" s="56" t="s">
        <v>44</v>
      </c>
    </row>
    <row r="41" spans="2:2" x14ac:dyDescent="0.25">
      <c r="B41" s="56" t="s">
        <v>45</v>
      </c>
    </row>
    <row r="43" spans="2:2" x14ac:dyDescent="0.25">
      <c r="B43" s="56" t="s">
        <v>46</v>
      </c>
    </row>
    <row r="45" spans="2:2" x14ac:dyDescent="0.25">
      <c r="B45" s="56" t="s">
        <v>47</v>
      </c>
    </row>
    <row r="46" spans="2:2" x14ac:dyDescent="0.25">
      <c r="B46" s="56" t="s">
        <v>48</v>
      </c>
    </row>
    <row r="48" spans="2:2" x14ac:dyDescent="0.25">
      <c r="B48" s="56" t="s">
        <v>49</v>
      </c>
    </row>
    <row r="49" spans="2:2" x14ac:dyDescent="0.25">
      <c r="B49" s="56" t="s">
        <v>50</v>
      </c>
    </row>
    <row r="51" spans="2:2" x14ac:dyDescent="0.25">
      <c r="B51" s="56" t="s">
        <v>51</v>
      </c>
    </row>
    <row r="52" spans="2:2" x14ac:dyDescent="0.25">
      <c r="B52" s="56" t="s">
        <v>52</v>
      </c>
    </row>
    <row r="54" spans="2:2" x14ac:dyDescent="0.25">
      <c r="B54" s="56" t="s">
        <v>53</v>
      </c>
    </row>
    <row r="55" spans="2:2" x14ac:dyDescent="0.25">
      <c r="B55" s="56" t="s">
        <v>54</v>
      </c>
    </row>
    <row r="57" spans="2:2" x14ac:dyDescent="0.25">
      <c r="B57" s="56" t="s">
        <v>55</v>
      </c>
    </row>
    <row r="59" spans="2:2" x14ac:dyDescent="0.25">
      <c r="B59" s="56" t="s">
        <v>56</v>
      </c>
    </row>
    <row r="60" spans="2:2" x14ac:dyDescent="0.25">
      <c r="B60" s="56" t="s">
        <v>57</v>
      </c>
    </row>
    <row r="62" spans="2:2" x14ac:dyDescent="0.25">
      <c r="B62" s="56" t="s">
        <v>58</v>
      </c>
    </row>
    <row r="63" spans="2:2" x14ac:dyDescent="0.25">
      <c r="B63" s="56" t="s">
        <v>59</v>
      </c>
    </row>
    <row r="65" spans="2:2" x14ac:dyDescent="0.25">
      <c r="B65" s="56" t="s">
        <v>60</v>
      </c>
    </row>
    <row r="67" spans="2:2" x14ac:dyDescent="0.25">
      <c r="B67" s="56" t="s">
        <v>61</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97BD4-8C90-4618-8B23-079CD99619EB}">
  <sheetPr codeName="Sheet16"/>
  <dimension ref="B2:N50"/>
  <sheetViews>
    <sheetView topLeftCell="D19" workbookViewId="0">
      <selection activeCell="D7" sqref="D7"/>
    </sheetView>
  </sheetViews>
  <sheetFormatPr defaultRowHeight="15" x14ac:dyDescent="0.25"/>
  <cols>
    <col min="2" max="2" width="19.5" bestFit="1" customWidth="1"/>
    <col min="3" max="4" width="11.75" bestFit="1" customWidth="1"/>
    <col min="5" max="8" width="11.75" customWidth="1"/>
    <col min="9" max="9" width="11.75" bestFit="1" customWidth="1"/>
    <col min="10" max="11" width="11.75" customWidth="1"/>
    <col min="12" max="14" width="11.75" bestFit="1" customWidth="1"/>
    <col min="15" max="15" width="15.625" customWidth="1"/>
    <col min="16" max="16" width="17.625" customWidth="1"/>
    <col min="17" max="17" width="16" customWidth="1"/>
    <col min="18" max="18" width="16.5" customWidth="1"/>
    <col min="19" max="19" width="21.875" customWidth="1"/>
    <col min="20" max="20" width="17.5" customWidth="1"/>
    <col min="21" max="21" width="19.5" customWidth="1"/>
    <col min="22" max="22" width="17.875" customWidth="1"/>
    <col min="23" max="23" width="18.5" customWidth="1"/>
  </cols>
  <sheetData>
    <row r="2" spans="2:14" ht="33" x14ac:dyDescent="0.45">
      <c r="B2" s="63" t="str" cm="1">
        <f t="array" aca="1" ref="B2" ca="1">MID(CELL("filename",A1),FIND("]",CELL("filename",A1))+1,255)</f>
        <v>Paycheck Allocation, Actual</v>
      </c>
      <c r="C2" s="63"/>
      <c r="D2" s="63"/>
      <c r="E2" s="63"/>
      <c r="F2" s="63"/>
      <c r="G2" s="63"/>
      <c r="H2" s="63"/>
      <c r="I2" s="63"/>
      <c r="J2" s="63"/>
      <c r="K2" s="63"/>
      <c r="L2" s="63"/>
      <c r="M2" s="63"/>
      <c r="N2" s="63"/>
    </row>
    <row r="3" spans="2:14" ht="22.5" x14ac:dyDescent="0.3">
      <c r="B3" s="74" t="s">
        <v>177</v>
      </c>
      <c r="C3" s="74"/>
      <c r="D3" s="74"/>
      <c r="E3" s="74"/>
      <c r="F3" s="74"/>
      <c r="G3" s="74"/>
      <c r="H3" s="74"/>
      <c r="I3" s="74"/>
      <c r="J3" s="74"/>
      <c r="K3" s="74"/>
      <c r="L3" s="74"/>
      <c r="M3" s="74"/>
      <c r="N3" s="74"/>
    </row>
    <row r="4" spans="2:14" ht="22.5" x14ac:dyDescent="0.3">
      <c r="B4" s="74" t="s">
        <v>178</v>
      </c>
      <c r="C4" s="74"/>
      <c r="D4" s="74"/>
      <c r="E4" s="74"/>
      <c r="F4" s="74"/>
      <c r="G4" s="74"/>
      <c r="H4" s="74"/>
      <c r="I4" s="74"/>
      <c r="J4" s="74"/>
      <c r="K4" s="74"/>
      <c r="L4" s="74"/>
      <c r="M4" s="74"/>
      <c r="N4" s="74"/>
    </row>
    <row r="6" spans="2:14" s="37" customFormat="1" ht="30" customHeight="1" x14ac:dyDescent="0.25">
      <c r="B6" s="37" t="s">
        <v>82</v>
      </c>
      <c r="C6" s="37" t="s">
        <v>83</v>
      </c>
      <c r="D6" s="37" t="s">
        <v>67</v>
      </c>
      <c r="E6" s="37" t="s">
        <v>171</v>
      </c>
      <c r="F6" s="37" t="s">
        <v>172</v>
      </c>
      <c r="G6" s="37" t="s">
        <v>173</v>
      </c>
      <c r="H6" s="37" t="s">
        <v>107</v>
      </c>
      <c r="I6" s="37" t="s">
        <v>94</v>
      </c>
      <c r="J6" s="37" t="s">
        <v>174</v>
      </c>
      <c r="K6" s="37" t="s">
        <v>175</v>
      </c>
      <c r="L6" s="37" t="s">
        <v>93</v>
      </c>
      <c r="M6" s="37" t="s">
        <v>95</v>
      </c>
      <c r="N6" s="37" t="s">
        <v>80</v>
      </c>
    </row>
    <row r="7" spans="2:14" x14ac:dyDescent="0.25">
      <c r="B7" s="30">
        <f>DATE(2025,6,4)</f>
        <v>45812</v>
      </c>
      <c r="C7" s="23">
        <v>425.89</v>
      </c>
      <c r="D7" s="23">
        <f>SUBTOTAL(9,ALLOCATIONACTUAL[[#This Row],[RENT]:[DEBT EXT MIN]])</f>
        <v>605</v>
      </c>
      <c r="E7" s="23">
        <v>550</v>
      </c>
      <c r="F7" s="23"/>
      <c r="G7" s="23"/>
      <c r="H7" s="23">
        <v>55</v>
      </c>
      <c r="I7" s="23">
        <f>SUBTOTAL(9,ALLOCATIONACTUAL[[#This Row],[MCC]:[VFB]])</f>
        <v>200</v>
      </c>
      <c r="J7" s="23">
        <v>200</v>
      </c>
      <c r="K7" s="23"/>
      <c r="L7" s="23"/>
      <c r="M7" s="23"/>
      <c r="N7" s="23">
        <f>ALLOCATIONACTUAL[[#This Row],[NET PAY]]-SUBTOTAL(9,ALLOCATIONACTUAL[[#This Row],[FIXED OBLIGATIONS]:[DEBT EXT EXTRA]])</f>
        <v>-379.11</v>
      </c>
    </row>
    <row r="8" spans="2:14" x14ac:dyDescent="0.25">
      <c r="B8" s="30">
        <f>B7+14</f>
        <v>45826</v>
      </c>
      <c r="C8" s="23">
        <v>710</v>
      </c>
      <c r="D8" s="23">
        <f>SUBTOTAL(9,ALLOCATIONACTUAL[[#This Row],[RENT]:[DEBT EXT MIN]])</f>
        <v>190</v>
      </c>
      <c r="E8" s="23">
        <v>0</v>
      </c>
      <c r="F8" s="23">
        <v>165</v>
      </c>
      <c r="G8" s="23">
        <v>25</v>
      </c>
      <c r="H8" s="23"/>
      <c r="I8" s="23"/>
      <c r="J8" s="23"/>
      <c r="K8" s="23"/>
      <c r="L8" s="23"/>
      <c r="M8" s="23"/>
      <c r="N8" s="23"/>
    </row>
    <row r="9" spans="2:14" x14ac:dyDescent="0.25">
      <c r="B9" s="30">
        <f t="shared" ref="B9:B49" si="0">B8+14</f>
        <v>45840</v>
      </c>
      <c r="C9" s="23"/>
      <c r="D9" s="23">
        <f>SUBTOTAL(9,ALLOCATIONACTUAL[[#This Row],[RENT]:[DEBT EXT MIN]])</f>
        <v>0</v>
      </c>
      <c r="E9" s="23"/>
      <c r="F9" s="23"/>
      <c r="G9" s="23"/>
      <c r="H9" s="23"/>
      <c r="I9" s="23"/>
      <c r="J9" s="23"/>
      <c r="K9" s="23"/>
      <c r="L9" s="23"/>
      <c r="M9" s="23"/>
      <c r="N9" s="23"/>
    </row>
    <row r="10" spans="2:14" x14ac:dyDescent="0.25">
      <c r="B10" s="30">
        <f t="shared" si="0"/>
        <v>45854</v>
      </c>
      <c r="C10" s="23"/>
      <c r="D10" s="23">
        <f>SUBTOTAL(9,ALLOCATIONACTUAL[[#This Row],[RENT]:[DEBT EXT MIN]])</f>
        <v>0</v>
      </c>
      <c r="E10" s="23"/>
      <c r="F10" s="23"/>
      <c r="G10" s="23"/>
      <c r="H10" s="23"/>
      <c r="I10" s="23"/>
      <c r="J10" s="23"/>
      <c r="K10" s="23"/>
      <c r="L10" s="23"/>
      <c r="M10" s="23"/>
      <c r="N10" s="23"/>
    </row>
    <row r="11" spans="2:14" x14ac:dyDescent="0.25">
      <c r="B11" s="30">
        <f t="shared" si="0"/>
        <v>45868</v>
      </c>
      <c r="C11" s="23"/>
      <c r="D11" s="23">
        <f>SUBTOTAL(9,ALLOCATIONACTUAL[[#This Row],[RENT]:[DEBT EXT MIN]])</f>
        <v>0</v>
      </c>
      <c r="E11" s="23"/>
      <c r="F11" s="23"/>
      <c r="G11" s="23"/>
      <c r="H11" s="23"/>
      <c r="I11" s="23"/>
      <c r="J11" s="23"/>
      <c r="K11" s="23"/>
      <c r="L11" s="23"/>
      <c r="M11" s="23"/>
      <c r="N11" s="23"/>
    </row>
    <row r="12" spans="2:14" x14ac:dyDescent="0.25">
      <c r="B12" s="30">
        <f t="shared" si="0"/>
        <v>45882</v>
      </c>
      <c r="C12" s="23"/>
      <c r="D12" s="23">
        <f>SUBTOTAL(9,ALLOCATIONACTUAL[[#This Row],[RENT]:[DEBT EXT MIN]])</f>
        <v>0</v>
      </c>
      <c r="E12" s="23"/>
      <c r="F12" s="23"/>
      <c r="G12" s="23"/>
      <c r="H12" s="23"/>
      <c r="I12" s="23"/>
      <c r="J12" s="23"/>
      <c r="K12" s="23"/>
      <c r="L12" s="23"/>
      <c r="M12" s="23"/>
      <c r="N12" s="23"/>
    </row>
    <row r="13" spans="2:14" x14ac:dyDescent="0.25">
      <c r="B13" s="30">
        <f t="shared" si="0"/>
        <v>45896</v>
      </c>
      <c r="C13" s="23"/>
      <c r="D13" s="23">
        <f>SUBTOTAL(9,ALLOCATIONACTUAL[[#This Row],[RENT]:[DEBT EXT MIN]])</f>
        <v>0</v>
      </c>
      <c r="E13" s="23"/>
      <c r="F13" s="23"/>
      <c r="G13" s="23"/>
      <c r="H13" s="23"/>
      <c r="I13" s="23"/>
      <c r="J13" s="23"/>
      <c r="K13" s="23"/>
      <c r="L13" s="23"/>
      <c r="M13" s="23"/>
      <c r="N13" s="23"/>
    </row>
    <row r="14" spans="2:14" x14ac:dyDescent="0.25">
      <c r="B14" s="30">
        <f t="shared" si="0"/>
        <v>45910</v>
      </c>
      <c r="C14" s="23"/>
      <c r="D14" s="23">
        <f>SUBTOTAL(9,ALLOCATIONACTUAL[[#This Row],[RENT]:[DEBT EXT MIN]])</f>
        <v>0</v>
      </c>
      <c r="E14" s="23"/>
      <c r="F14" s="23"/>
      <c r="G14" s="23"/>
      <c r="H14" s="23"/>
      <c r="I14" s="23"/>
      <c r="J14" s="23"/>
      <c r="K14" s="23"/>
      <c r="L14" s="23"/>
      <c r="M14" s="23"/>
      <c r="N14" s="23"/>
    </row>
    <row r="15" spans="2:14" x14ac:dyDescent="0.25">
      <c r="B15" s="30">
        <f t="shared" si="0"/>
        <v>45924</v>
      </c>
      <c r="C15" s="23"/>
      <c r="D15" s="23">
        <f>SUBTOTAL(9,ALLOCATIONACTUAL[[#This Row],[RENT]:[DEBT EXT MIN]])</f>
        <v>0</v>
      </c>
      <c r="E15" s="23"/>
      <c r="F15" s="23"/>
      <c r="G15" s="23"/>
      <c r="H15" s="23"/>
      <c r="I15" s="23"/>
      <c r="J15" s="23"/>
      <c r="K15" s="23"/>
      <c r="L15" s="23"/>
      <c r="M15" s="23"/>
      <c r="N15" s="23"/>
    </row>
    <row r="16" spans="2:14" x14ac:dyDescent="0.25">
      <c r="B16" s="30">
        <f t="shared" si="0"/>
        <v>45938</v>
      </c>
      <c r="C16" s="23"/>
      <c r="D16" s="23">
        <f>SUBTOTAL(9,ALLOCATIONACTUAL[[#This Row],[RENT]:[DEBT EXT MIN]])</f>
        <v>0</v>
      </c>
      <c r="E16" s="23"/>
      <c r="F16" s="23"/>
      <c r="G16" s="23"/>
      <c r="H16" s="23"/>
      <c r="I16" s="23"/>
      <c r="J16" s="23"/>
      <c r="K16" s="23"/>
      <c r="L16" s="23"/>
      <c r="M16" s="23"/>
      <c r="N16" s="23"/>
    </row>
    <row r="17" spans="2:14" x14ac:dyDescent="0.25">
      <c r="B17" s="30">
        <f t="shared" si="0"/>
        <v>45952</v>
      </c>
      <c r="C17" s="23"/>
      <c r="D17" s="23">
        <f>SUBTOTAL(9,ALLOCATIONACTUAL[[#This Row],[RENT]:[DEBT EXT MIN]])</f>
        <v>0</v>
      </c>
      <c r="E17" s="23"/>
      <c r="F17" s="23"/>
      <c r="G17" s="23"/>
      <c r="H17" s="23"/>
      <c r="I17" s="23"/>
      <c r="J17" s="23"/>
      <c r="K17" s="23"/>
      <c r="L17" s="23"/>
      <c r="M17" s="23"/>
      <c r="N17" s="23"/>
    </row>
    <row r="18" spans="2:14" x14ac:dyDescent="0.25">
      <c r="B18" s="30">
        <f t="shared" si="0"/>
        <v>45966</v>
      </c>
      <c r="C18" s="23"/>
      <c r="D18" s="23">
        <f>SUBTOTAL(9,ALLOCATIONACTUAL[[#This Row],[RENT]:[DEBT EXT MIN]])</f>
        <v>0</v>
      </c>
      <c r="E18" s="23"/>
      <c r="F18" s="23"/>
      <c r="G18" s="23"/>
      <c r="H18" s="23"/>
      <c r="I18" s="23"/>
      <c r="J18" s="23"/>
      <c r="K18" s="23"/>
      <c r="L18" s="23"/>
      <c r="M18" s="23"/>
      <c r="N18" s="23"/>
    </row>
    <row r="19" spans="2:14" x14ac:dyDescent="0.25">
      <c r="B19" s="30">
        <f t="shared" si="0"/>
        <v>45980</v>
      </c>
      <c r="C19" s="23"/>
      <c r="D19" s="23">
        <f>SUBTOTAL(9,ALLOCATIONACTUAL[[#This Row],[RENT]:[DEBT EXT MIN]])</f>
        <v>0</v>
      </c>
      <c r="E19" s="23"/>
      <c r="F19" s="23"/>
      <c r="G19" s="23"/>
      <c r="H19" s="23"/>
      <c r="I19" s="23"/>
      <c r="J19" s="23"/>
      <c r="K19" s="23"/>
      <c r="L19" s="23"/>
      <c r="M19" s="23"/>
      <c r="N19" s="23"/>
    </row>
    <row r="20" spans="2:14" x14ac:dyDescent="0.25">
      <c r="B20" s="30">
        <f t="shared" si="0"/>
        <v>45994</v>
      </c>
      <c r="C20" s="23"/>
      <c r="D20" s="23">
        <f>SUBTOTAL(9,ALLOCATIONACTUAL[[#This Row],[RENT]:[DEBT EXT MIN]])</f>
        <v>0</v>
      </c>
      <c r="E20" s="23"/>
      <c r="F20" s="23"/>
      <c r="G20" s="23"/>
      <c r="H20" s="23"/>
      <c r="I20" s="23"/>
      <c r="J20" s="23"/>
      <c r="K20" s="23"/>
      <c r="L20" s="23"/>
      <c r="M20" s="23"/>
      <c r="N20" s="23"/>
    </row>
    <row r="21" spans="2:14" x14ac:dyDescent="0.25">
      <c r="B21" s="30">
        <f t="shared" si="0"/>
        <v>46008</v>
      </c>
      <c r="C21" s="23"/>
      <c r="D21" s="23">
        <f>SUBTOTAL(9,ALLOCATIONACTUAL[[#This Row],[RENT]:[DEBT EXT MIN]])</f>
        <v>0</v>
      </c>
      <c r="E21" s="23"/>
      <c r="F21" s="23"/>
      <c r="G21" s="23"/>
      <c r="H21" s="23"/>
      <c r="I21" s="23"/>
      <c r="J21" s="23"/>
      <c r="K21" s="23"/>
      <c r="L21" s="23"/>
      <c r="M21" s="23"/>
      <c r="N21" s="23"/>
    </row>
    <row r="22" spans="2:14" x14ac:dyDescent="0.25">
      <c r="B22" s="30">
        <f t="shared" si="0"/>
        <v>46022</v>
      </c>
      <c r="C22" s="23"/>
      <c r="D22" s="23">
        <f>SUBTOTAL(9,ALLOCATIONACTUAL[[#This Row],[RENT]:[DEBT EXT MIN]])</f>
        <v>0</v>
      </c>
      <c r="E22" s="23"/>
      <c r="F22" s="23"/>
      <c r="G22" s="23"/>
      <c r="H22" s="23"/>
      <c r="I22" s="23"/>
      <c r="J22" s="23"/>
      <c r="K22" s="23"/>
      <c r="L22" s="23"/>
      <c r="M22" s="23"/>
      <c r="N22" s="23"/>
    </row>
    <row r="23" spans="2:14" ht="15.75" thickBot="1" x14ac:dyDescent="0.3">
      <c r="B23" s="38" t="s">
        <v>96</v>
      </c>
      <c r="C23" s="39">
        <f>SUBTOTAL(9,C7:C22)</f>
        <v>1135.8899999999999</v>
      </c>
      <c r="D23" s="39">
        <f>SUBTOTAL(9,ALLOCATIONACTUAL[[#This Row],[RENT]:[DEBT EXT MIN]])</f>
        <v>0</v>
      </c>
      <c r="E23" s="39"/>
      <c r="F23" s="39"/>
      <c r="G23" s="39"/>
      <c r="H23" s="39"/>
      <c r="I23" s="39">
        <f t="shared" ref="I23:N23" si="1">SUBTOTAL(9,I7:I22)</f>
        <v>0</v>
      </c>
      <c r="J23" s="39"/>
      <c r="K23" s="39"/>
      <c r="L23" s="39">
        <f t="shared" si="1"/>
        <v>0</v>
      </c>
      <c r="M23" s="39">
        <f t="shared" si="1"/>
        <v>0</v>
      </c>
      <c r="N23" s="39">
        <f t="shared" si="1"/>
        <v>0</v>
      </c>
    </row>
    <row r="24" spans="2:14" x14ac:dyDescent="0.25">
      <c r="B24" s="30">
        <f>B22+14</f>
        <v>46036</v>
      </c>
      <c r="C24" s="23"/>
      <c r="D24" s="23">
        <f>SUBTOTAL(9,ALLOCATIONACTUAL[[#This Row],[RENT]:[DEBT EXT MIN]])</f>
        <v>0</v>
      </c>
      <c r="E24" s="23"/>
      <c r="F24" s="23"/>
      <c r="G24" s="23"/>
      <c r="H24" s="23"/>
      <c r="I24" s="23"/>
      <c r="J24" s="23"/>
      <c r="K24" s="23"/>
      <c r="L24" s="23"/>
      <c r="M24" s="23"/>
      <c r="N24" s="23"/>
    </row>
    <row r="25" spans="2:14" x14ac:dyDescent="0.25">
      <c r="B25" s="30">
        <f t="shared" si="0"/>
        <v>46050</v>
      </c>
      <c r="C25" s="23"/>
      <c r="D25" s="23">
        <f>SUBTOTAL(9,ALLOCATIONACTUAL[[#This Row],[RENT]:[DEBT EXT MIN]])</f>
        <v>0</v>
      </c>
      <c r="E25" s="23"/>
      <c r="F25" s="23"/>
      <c r="G25" s="23"/>
      <c r="H25" s="23"/>
      <c r="I25" s="23"/>
      <c r="J25" s="23"/>
      <c r="K25" s="23"/>
      <c r="L25" s="23"/>
      <c r="M25" s="23"/>
      <c r="N25" s="23"/>
    </row>
    <row r="26" spans="2:14" x14ac:dyDescent="0.25">
      <c r="B26" s="30">
        <f t="shared" si="0"/>
        <v>46064</v>
      </c>
      <c r="C26" s="23"/>
      <c r="D26" s="23">
        <f>SUBTOTAL(9,ALLOCATIONACTUAL[[#This Row],[RENT]:[DEBT EXT MIN]])</f>
        <v>0</v>
      </c>
      <c r="E26" s="23"/>
      <c r="F26" s="23"/>
      <c r="G26" s="23"/>
      <c r="H26" s="23"/>
      <c r="I26" s="23"/>
      <c r="J26" s="23"/>
      <c r="K26" s="23"/>
      <c r="L26" s="23"/>
      <c r="M26" s="23"/>
      <c r="N26" s="23"/>
    </row>
    <row r="27" spans="2:14" x14ac:dyDescent="0.25">
      <c r="B27" s="30">
        <f t="shared" si="0"/>
        <v>46078</v>
      </c>
      <c r="C27" s="23"/>
      <c r="D27" s="23">
        <f>SUBTOTAL(9,ALLOCATIONACTUAL[[#This Row],[RENT]:[DEBT EXT MIN]])</f>
        <v>0</v>
      </c>
      <c r="E27" s="23"/>
      <c r="F27" s="23"/>
      <c r="G27" s="23"/>
      <c r="H27" s="23"/>
      <c r="I27" s="23"/>
      <c r="J27" s="23"/>
      <c r="K27" s="23"/>
      <c r="L27" s="23"/>
      <c r="M27" s="23"/>
      <c r="N27" s="23"/>
    </row>
    <row r="28" spans="2:14" x14ac:dyDescent="0.25">
      <c r="B28" s="30">
        <f t="shared" si="0"/>
        <v>46092</v>
      </c>
      <c r="C28" s="23"/>
      <c r="D28" s="23">
        <f>SUBTOTAL(9,ALLOCATIONACTUAL[[#This Row],[RENT]:[DEBT EXT MIN]])</f>
        <v>0</v>
      </c>
      <c r="E28" s="23"/>
      <c r="F28" s="23"/>
      <c r="G28" s="23"/>
      <c r="H28" s="23"/>
      <c r="I28" s="23"/>
      <c r="J28" s="23"/>
      <c r="K28" s="23"/>
      <c r="L28" s="23"/>
      <c r="M28" s="23"/>
      <c r="N28" s="23"/>
    </row>
    <row r="29" spans="2:14" x14ac:dyDescent="0.25">
      <c r="B29" s="30">
        <f t="shared" si="0"/>
        <v>46106</v>
      </c>
      <c r="C29" s="23"/>
      <c r="D29" s="23">
        <f>SUBTOTAL(9,ALLOCATIONACTUAL[[#This Row],[RENT]:[DEBT EXT MIN]])</f>
        <v>0</v>
      </c>
      <c r="E29" s="23"/>
      <c r="F29" s="23"/>
      <c r="G29" s="23"/>
      <c r="H29" s="23"/>
      <c r="I29" s="23"/>
      <c r="J29" s="23"/>
      <c r="K29" s="23"/>
      <c r="L29" s="23"/>
      <c r="M29" s="23"/>
      <c r="N29" s="23"/>
    </row>
    <row r="30" spans="2:14" x14ac:dyDescent="0.25">
      <c r="B30" s="30">
        <f t="shared" si="0"/>
        <v>46120</v>
      </c>
      <c r="C30" s="23"/>
      <c r="D30" s="23">
        <f>SUBTOTAL(9,ALLOCATIONACTUAL[[#This Row],[RENT]:[DEBT EXT MIN]])</f>
        <v>0</v>
      </c>
      <c r="E30" s="23"/>
      <c r="F30" s="23"/>
      <c r="G30" s="23"/>
      <c r="H30" s="23"/>
      <c r="I30" s="23"/>
      <c r="J30" s="23"/>
      <c r="K30" s="23"/>
      <c r="L30" s="23"/>
      <c r="M30" s="23"/>
      <c r="N30" s="23"/>
    </row>
    <row r="31" spans="2:14" x14ac:dyDescent="0.25">
      <c r="B31" s="30">
        <f t="shared" si="0"/>
        <v>46134</v>
      </c>
      <c r="C31" s="23"/>
      <c r="D31" s="23">
        <f>SUBTOTAL(9,ALLOCATIONACTUAL[[#This Row],[RENT]:[DEBT EXT MIN]])</f>
        <v>0</v>
      </c>
      <c r="E31" s="23"/>
      <c r="F31" s="23"/>
      <c r="G31" s="23"/>
      <c r="H31" s="23"/>
      <c r="I31" s="23"/>
      <c r="J31" s="23"/>
      <c r="K31" s="23"/>
      <c r="L31" s="23"/>
      <c r="M31" s="23"/>
      <c r="N31" s="23"/>
    </row>
    <row r="32" spans="2:14" x14ac:dyDescent="0.25">
      <c r="B32" s="30">
        <f t="shared" si="0"/>
        <v>46148</v>
      </c>
      <c r="C32" s="23"/>
      <c r="D32" s="23">
        <f>SUBTOTAL(9,ALLOCATIONACTUAL[[#This Row],[RENT]:[DEBT EXT MIN]])</f>
        <v>0</v>
      </c>
      <c r="E32" s="23"/>
      <c r="F32" s="23"/>
      <c r="G32" s="23"/>
      <c r="H32" s="23"/>
      <c r="I32" s="23"/>
      <c r="J32" s="23"/>
      <c r="K32" s="23"/>
      <c r="L32" s="23"/>
      <c r="M32" s="23"/>
      <c r="N32" s="23"/>
    </row>
    <row r="33" spans="2:14" x14ac:dyDescent="0.25">
      <c r="B33" s="30">
        <f t="shared" si="0"/>
        <v>46162</v>
      </c>
      <c r="C33" s="23"/>
      <c r="D33" s="23">
        <f>SUBTOTAL(9,ALLOCATIONACTUAL[[#This Row],[RENT]:[DEBT EXT MIN]])</f>
        <v>0</v>
      </c>
      <c r="E33" s="23"/>
      <c r="F33" s="23"/>
      <c r="G33" s="23"/>
      <c r="H33" s="23"/>
      <c r="I33" s="23"/>
      <c r="J33" s="23"/>
      <c r="K33" s="23"/>
      <c r="L33" s="23"/>
      <c r="M33" s="23"/>
      <c r="N33" s="23"/>
    </row>
    <row r="34" spans="2:14" x14ac:dyDescent="0.25">
      <c r="B34" s="30">
        <f t="shared" si="0"/>
        <v>46176</v>
      </c>
      <c r="C34" s="23"/>
      <c r="D34" s="23">
        <f>SUBTOTAL(9,ALLOCATIONACTUAL[[#This Row],[RENT]:[DEBT EXT MIN]])</f>
        <v>0</v>
      </c>
      <c r="E34" s="23"/>
      <c r="F34" s="23"/>
      <c r="G34" s="23"/>
      <c r="H34" s="23"/>
      <c r="I34" s="23"/>
      <c r="J34" s="23"/>
      <c r="K34" s="23"/>
      <c r="L34" s="23"/>
      <c r="M34" s="23"/>
      <c r="N34" s="23"/>
    </row>
    <row r="35" spans="2:14" x14ac:dyDescent="0.25">
      <c r="B35" s="30">
        <f t="shared" si="0"/>
        <v>46190</v>
      </c>
      <c r="C35" s="23"/>
      <c r="D35" s="23">
        <f>SUBTOTAL(9,ALLOCATIONACTUAL[[#This Row],[RENT]:[DEBT EXT MIN]])</f>
        <v>0</v>
      </c>
      <c r="E35" s="23"/>
      <c r="F35" s="23"/>
      <c r="G35" s="23"/>
      <c r="H35" s="23"/>
      <c r="I35" s="23"/>
      <c r="J35" s="23"/>
      <c r="K35" s="23"/>
      <c r="L35" s="23"/>
      <c r="M35" s="23"/>
      <c r="N35" s="23"/>
    </row>
    <row r="36" spans="2:14" x14ac:dyDescent="0.25">
      <c r="B36" s="30">
        <f t="shared" si="0"/>
        <v>46204</v>
      </c>
      <c r="C36" s="23"/>
      <c r="D36" s="23">
        <f>SUBTOTAL(9,ALLOCATIONACTUAL[[#This Row],[RENT]:[DEBT EXT MIN]])</f>
        <v>0</v>
      </c>
      <c r="E36" s="23"/>
      <c r="F36" s="23"/>
      <c r="G36" s="23"/>
      <c r="H36" s="23"/>
      <c r="I36" s="23"/>
      <c r="J36" s="23"/>
      <c r="K36" s="23"/>
      <c r="L36" s="23"/>
      <c r="M36" s="23"/>
      <c r="N36" s="23"/>
    </row>
    <row r="37" spans="2:14" x14ac:dyDescent="0.25">
      <c r="B37" s="30">
        <f t="shared" si="0"/>
        <v>46218</v>
      </c>
      <c r="C37" s="23"/>
      <c r="D37" s="23">
        <f>SUBTOTAL(9,ALLOCATIONACTUAL[[#This Row],[RENT]:[DEBT EXT MIN]])</f>
        <v>0</v>
      </c>
      <c r="E37" s="23"/>
      <c r="F37" s="23"/>
      <c r="G37" s="23"/>
      <c r="H37" s="23"/>
      <c r="I37" s="23"/>
      <c r="J37" s="23"/>
      <c r="K37" s="23"/>
      <c r="L37" s="23"/>
      <c r="M37" s="23"/>
      <c r="N37" s="23"/>
    </row>
    <row r="38" spans="2:14" x14ac:dyDescent="0.25">
      <c r="B38" s="30">
        <f t="shared" si="0"/>
        <v>46232</v>
      </c>
      <c r="C38" s="23"/>
      <c r="D38" s="23">
        <f>SUBTOTAL(9,ALLOCATIONACTUAL[[#This Row],[RENT]:[DEBT EXT MIN]])</f>
        <v>0</v>
      </c>
      <c r="E38" s="23"/>
      <c r="F38" s="23"/>
      <c r="G38" s="23"/>
      <c r="H38" s="23"/>
      <c r="I38" s="23"/>
      <c r="J38" s="23"/>
      <c r="K38" s="23"/>
      <c r="L38" s="23"/>
      <c r="M38" s="23"/>
      <c r="N38" s="23"/>
    </row>
    <row r="39" spans="2:14" x14ac:dyDescent="0.25">
      <c r="B39" s="30">
        <f t="shared" si="0"/>
        <v>46246</v>
      </c>
      <c r="C39" s="23"/>
      <c r="D39" s="23">
        <f>SUBTOTAL(9,ALLOCATIONACTUAL[[#This Row],[RENT]:[DEBT EXT MIN]])</f>
        <v>0</v>
      </c>
      <c r="E39" s="23"/>
      <c r="F39" s="23"/>
      <c r="G39" s="23"/>
      <c r="H39" s="23"/>
      <c r="I39" s="23"/>
      <c r="J39" s="23"/>
      <c r="K39" s="23"/>
      <c r="L39" s="23"/>
      <c r="M39" s="23"/>
      <c r="N39" s="23"/>
    </row>
    <row r="40" spans="2:14" x14ac:dyDescent="0.25">
      <c r="B40" s="30">
        <f t="shared" si="0"/>
        <v>46260</v>
      </c>
      <c r="C40" s="23"/>
      <c r="D40" s="23">
        <f>SUBTOTAL(9,ALLOCATIONACTUAL[[#This Row],[RENT]:[DEBT EXT MIN]])</f>
        <v>0</v>
      </c>
      <c r="E40" s="23"/>
      <c r="F40" s="23"/>
      <c r="G40" s="23"/>
      <c r="H40" s="23"/>
      <c r="I40" s="23"/>
      <c r="J40" s="23"/>
      <c r="K40" s="23"/>
      <c r="L40" s="23"/>
      <c r="M40" s="23"/>
      <c r="N40" s="23"/>
    </row>
    <row r="41" spans="2:14" x14ac:dyDescent="0.25">
      <c r="B41" s="30">
        <f t="shared" si="0"/>
        <v>46274</v>
      </c>
      <c r="C41" s="23"/>
      <c r="D41" s="23">
        <f>SUBTOTAL(9,ALLOCATIONACTUAL[[#This Row],[RENT]:[DEBT EXT MIN]])</f>
        <v>0</v>
      </c>
      <c r="E41" s="23"/>
      <c r="F41" s="23"/>
      <c r="G41" s="23"/>
      <c r="H41" s="23"/>
      <c r="I41" s="23"/>
      <c r="J41" s="23"/>
      <c r="K41" s="23"/>
      <c r="L41" s="23"/>
      <c r="M41" s="23"/>
      <c r="N41" s="23"/>
    </row>
    <row r="42" spans="2:14" x14ac:dyDescent="0.25">
      <c r="B42" s="30">
        <f t="shared" si="0"/>
        <v>46288</v>
      </c>
      <c r="C42" s="23"/>
      <c r="D42" s="23">
        <f>SUBTOTAL(9,ALLOCATIONACTUAL[[#This Row],[RENT]:[DEBT EXT MIN]])</f>
        <v>0</v>
      </c>
      <c r="E42" s="23"/>
      <c r="F42" s="23"/>
      <c r="G42" s="23"/>
      <c r="H42" s="23"/>
      <c r="I42" s="23"/>
      <c r="J42" s="23"/>
      <c r="K42" s="23"/>
      <c r="L42" s="23"/>
      <c r="M42" s="23"/>
      <c r="N42" s="23"/>
    </row>
    <row r="43" spans="2:14" x14ac:dyDescent="0.25">
      <c r="B43" s="30">
        <f t="shared" si="0"/>
        <v>46302</v>
      </c>
      <c r="C43" s="23"/>
      <c r="D43" s="23">
        <f>SUBTOTAL(9,ALLOCATIONACTUAL[[#This Row],[RENT]:[DEBT EXT MIN]])</f>
        <v>0</v>
      </c>
      <c r="E43" s="23"/>
      <c r="F43" s="23"/>
      <c r="G43" s="23"/>
      <c r="H43" s="23"/>
      <c r="I43" s="23"/>
      <c r="J43" s="23"/>
      <c r="K43" s="23"/>
      <c r="L43" s="23"/>
      <c r="M43" s="23"/>
      <c r="N43" s="23"/>
    </row>
    <row r="44" spans="2:14" x14ac:dyDescent="0.25">
      <c r="B44" s="30">
        <f t="shared" si="0"/>
        <v>46316</v>
      </c>
      <c r="C44" s="23"/>
      <c r="D44" s="23">
        <f>SUBTOTAL(9,ALLOCATIONACTUAL[[#This Row],[RENT]:[DEBT EXT MIN]])</f>
        <v>0</v>
      </c>
      <c r="E44" s="23"/>
      <c r="F44" s="23"/>
      <c r="G44" s="23"/>
      <c r="H44" s="23"/>
      <c r="I44" s="23"/>
      <c r="J44" s="23"/>
      <c r="K44" s="23"/>
      <c r="L44" s="23"/>
      <c r="M44" s="23"/>
      <c r="N44" s="23"/>
    </row>
    <row r="45" spans="2:14" x14ac:dyDescent="0.25">
      <c r="B45" s="30">
        <f t="shared" si="0"/>
        <v>46330</v>
      </c>
      <c r="C45" s="23"/>
      <c r="D45" s="23">
        <f>SUBTOTAL(9,ALLOCATIONACTUAL[[#This Row],[RENT]:[DEBT EXT MIN]])</f>
        <v>0</v>
      </c>
      <c r="E45" s="23"/>
      <c r="F45" s="23"/>
      <c r="G45" s="23"/>
      <c r="H45" s="23"/>
      <c r="I45" s="23"/>
      <c r="J45" s="23"/>
      <c r="K45" s="23"/>
      <c r="L45" s="23"/>
      <c r="M45" s="23"/>
      <c r="N45" s="23"/>
    </row>
    <row r="46" spans="2:14" x14ac:dyDescent="0.25">
      <c r="B46" s="30">
        <f t="shared" si="0"/>
        <v>46344</v>
      </c>
      <c r="C46" s="23"/>
      <c r="D46" s="23">
        <f>SUBTOTAL(9,ALLOCATIONACTUAL[[#This Row],[RENT]:[DEBT EXT MIN]])</f>
        <v>0</v>
      </c>
      <c r="E46" s="23"/>
      <c r="F46" s="23"/>
      <c r="G46" s="23"/>
      <c r="H46" s="23"/>
      <c r="I46" s="23"/>
      <c r="J46" s="23"/>
      <c r="K46" s="23"/>
      <c r="L46" s="23"/>
      <c r="M46" s="23"/>
      <c r="N46" s="23"/>
    </row>
    <row r="47" spans="2:14" x14ac:dyDescent="0.25">
      <c r="B47" s="30">
        <f t="shared" si="0"/>
        <v>46358</v>
      </c>
      <c r="C47" s="23"/>
      <c r="D47" s="23">
        <f>SUBTOTAL(9,ALLOCATIONACTUAL[[#This Row],[RENT]:[DEBT EXT MIN]])</f>
        <v>0</v>
      </c>
      <c r="E47" s="23"/>
      <c r="F47" s="23"/>
      <c r="G47" s="23"/>
      <c r="H47" s="23"/>
      <c r="I47" s="23"/>
      <c r="J47" s="23"/>
      <c r="K47" s="23"/>
      <c r="L47" s="23"/>
      <c r="M47" s="23"/>
      <c r="N47" s="23"/>
    </row>
    <row r="48" spans="2:14" x14ac:dyDescent="0.25">
      <c r="B48" s="30">
        <f t="shared" si="0"/>
        <v>46372</v>
      </c>
      <c r="C48" s="23"/>
      <c r="D48" s="23">
        <f>SUBTOTAL(9,ALLOCATIONACTUAL[[#This Row],[RENT]:[DEBT EXT MIN]])</f>
        <v>0</v>
      </c>
      <c r="E48" s="23"/>
      <c r="F48" s="23"/>
      <c r="G48" s="23"/>
      <c r="H48" s="23"/>
      <c r="I48" s="23"/>
      <c r="J48" s="23"/>
      <c r="K48" s="23"/>
      <c r="L48" s="23"/>
      <c r="M48" s="23"/>
      <c r="N48" s="23"/>
    </row>
    <row r="49" spans="2:14" x14ac:dyDescent="0.25">
      <c r="B49" s="30">
        <f t="shared" si="0"/>
        <v>46386</v>
      </c>
      <c r="C49" s="23"/>
      <c r="D49" s="23">
        <f>SUBTOTAL(9,ALLOCATIONACTUAL[[#This Row],[RENT]:[DEBT EXT MIN]])</f>
        <v>0</v>
      </c>
      <c r="E49" s="23"/>
      <c r="F49" s="23"/>
      <c r="G49" s="23"/>
      <c r="H49" s="23"/>
      <c r="I49" s="23"/>
      <c r="J49" s="23"/>
      <c r="K49" s="23"/>
      <c r="L49" s="23"/>
      <c r="M49" s="23"/>
      <c r="N49" s="23"/>
    </row>
    <row r="50" spans="2:14" ht="15.75" thickBot="1" x14ac:dyDescent="0.3">
      <c r="B50" s="38" t="s">
        <v>97</v>
      </c>
      <c r="C50" s="39">
        <f>SUBTOTAL(9,C24:C49)</f>
        <v>0</v>
      </c>
      <c r="D50" s="39">
        <f ca="1">SUBTOTAL(9,ALLOCATIONACTUAL[[#This Row],[RENT]:[DEBT EXT MIN]])</f>
        <v>0</v>
      </c>
      <c r="E50" s="39"/>
      <c r="F50" s="39"/>
      <c r="G50" s="39"/>
      <c r="H50" s="39"/>
      <c r="I50" s="39">
        <f ca="1">D50*0.65</f>
        <v>0</v>
      </c>
      <c r="J50" s="39"/>
      <c r="K50" s="39"/>
      <c r="L50" s="39">
        <f ca="1">I50*0.65</f>
        <v>0</v>
      </c>
      <c r="M50" s="39">
        <f t="shared" ref="M50:N50" ca="1" si="2">L50*0.65</f>
        <v>0</v>
      </c>
      <c r="N50" s="39">
        <f t="shared" ca="1" si="2"/>
        <v>0</v>
      </c>
    </row>
  </sheetData>
  <mergeCells count="2">
    <mergeCell ref="B3:N3"/>
    <mergeCell ref="B4:N4"/>
  </mergeCells>
  <phoneticPr fontId="12" type="noConversion"/>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N50"/>
  <sheetViews>
    <sheetView zoomScale="58" workbookViewId="0">
      <selection activeCell="E7" sqref="E7"/>
    </sheetView>
  </sheetViews>
  <sheetFormatPr defaultRowHeight="15" x14ac:dyDescent="0.25"/>
  <cols>
    <col min="1" max="1" width="7.875"/>
    <col min="2" max="2" width="19.5" bestFit="1" customWidth="1"/>
    <col min="3" max="4" width="14.125" bestFit="1" customWidth="1"/>
    <col min="5" max="8" width="11.75" customWidth="1"/>
    <col min="9" max="9" width="11.75" bestFit="1" customWidth="1"/>
    <col min="10" max="11" width="11.75" customWidth="1"/>
    <col min="12" max="13" width="11.75" bestFit="1" customWidth="1"/>
    <col min="14" max="14" width="13" bestFit="1" customWidth="1"/>
    <col min="15" max="15" width="22.625" customWidth="1"/>
    <col min="16" max="16" width="15.625" customWidth="1"/>
    <col min="17" max="17" width="17.625" customWidth="1"/>
    <col min="18" max="18" width="16" customWidth="1"/>
    <col min="19" max="19" width="16.5" customWidth="1"/>
    <col min="20" max="20" width="21.875" customWidth="1"/>
    <col min="21" max="21" width="17.5" customWidth="1"/>
    <col min="22" max="22" width="19.5" customWidth="1"/>
    <col min="23" max="23" width="17.875" customWidth="1"/>
    <col min="24" max="24" width="18.5" customWidth="1"/>
  </cols>
  <sheetData>
    <row r="2" spans="2:14" ht="33" x14ac:dyDescent="0.45">
      <c r="B2" s="63" t="str" cm="1">
        <f t="array" aca="1" ref="B2" ca="1">MID(CELL("filename",A1),FIND("]",CELL("filename",A1))+1,255)</f>
        <v>Paycheck Allocation, Budgeted</v>
      </c>
      <c r="C2" s="63"/>
      <c r="D2" s="63"/>
      <c r="E2" s="63"/>
      <c r="F2" s="63"/>
      <c r="G2" s="63"/>
      <c r="H2" s="63"/>
      <c r="I2" s="63"/>
      <c r="J2" s="63"/>
      <c r="K2" s="63"/>
      <c r="L2" s="63"/>
      <c r="M2" s="63"/>
      <c r="N2" s="63"/>
    </row>
    <row r="3" spans="2:14" ht="22.5" x14ac:dyDescent="0.3">
      <c r="B3" s="74" t="s">
        <v>179</v>
      </c>
      <c r="C3" s="74"/>
      <c r="D3" s="74"/>
      <c r="E3" s="74"/>
      <c r="F3" s="74"/>
      <c r="G3" s="74"/>
      <c r="H3" s="74"/>
      <c r="I3" s="74"/>
      <c r="J3" s="74"/>
      <c r="K3" s="74"/>
      <c r="L3" s="74"/>
      <c r="M3" s="74"/>
      <c r="N3" s="74"/>
    </row>
    <row r="4" spans="2:14" ht="22.5" x14ac:dyDescent="0.3">
      <c r="B4" s="74" t="s">
        <v>176</v>
      </c>
      <c r="C4" s="74"/>
      <c r="D4" s="74"/>
      <c r="E4" s="74"/>
      <c r="F4" s="74"/>
      <c r="G4" s="74"/>
      <c r="H4" s="74"/>
      <c r="I4" s="74"/>
      <c r="J4" s="74"/>
      <c r="K4" s="74"/>
      <c r="L4" s="74"/>
      <c r="M4" s="74"/>
      <c r="N4" s="74"/>
    </row>
    <row r="6" spans="2:14" s="37" customFormat="1" ht="30" customHeight="1" x14ac:dyDescent="0.25">
      <c r="B6" s="37" t="s">
        <v>82</v>
      </c>
      <c r="C6" s="37" t="s">
        <v>83</v>
      </c>
      <c r="D6" s="37" t="s">
        <v>67</v>
      </c>
      <c r="E6" s="37" t="s">
        <v>171</v>
      </c>
      <c r="F6" s="37" t="s">
        <v>172</v>
      </c>
      <c r="G6" s="37" t="s">
        <v>173</v>
      </c>
      <c r="H6" s="37" t="s">
        <v>107</v>
      </c>
      <c r="I6" s="37" t="s">
        <v>94</v>
      </c>
      <c r="J6" s="37" t="s">
        <v>174</v>
      </c>
      <c r="K6" s="37" t="s">
        <v>175</v>
      </c>
      <c r="L6" s="37" t="s">
        <v>93</v>
      </c>
      <c r="M6" s="37" t="s">
        <v>95</v>
      </c>
      <c r="N6" s="37" t="s">
        <v>80</v>
      </c>
    </row>
    <row r="7" spans="2:14" x14ac:dyDescent="0.25">
      <c r="B7" s="30">
        <f>DATE(2025,6,4)</f>
        <v>45812</v>
      </c>
      <c r="C7" s="23">
        <v>486.42</v>
      </c>
      <c r="D7" s="23">
        <f>SUBTOTAL(9,ALLOCATION[[#This Row],[RENT]:[VFB]])</f>
        <v>550</v>
      </c>
      <c r="E7" s="23">
        <v>550</v>
      </c>
      <c r="F7" s="23">
        <v>0</v>
      </c>
      <c r="G7" s="23">
        <v>0</v>
      </c>
      <c r="H7" s="23">
        <v>0</v>
      </c>
      <c r="I7" s="23">
        <v>0</v>
      </c>
      <c r="J7" s="23">
        <v>0</v>
      </c>
      <c r="K7" s="23">
        <v>0</v>
      </c>
      <c r="L7" s="23">
        <v>10</v>
      </c>
      <c r="M7" s="23">
        <v>0</v>
      </c>
      <c r="N7" s="23">
        <f>ALLOCATION[[#This Row],[NET PAY]]-SUM(551,55,145)</f>
        <v>-264.58</v>
      </c>
    </row>
    <row r="8" spans="2:14" x14ac:dyDescent="0.25">
      <c r="B8" s="30">
        <f>B7+14</f>
        <v>45826</v>
      </c>
      <c r="C8" s="23">
        <v>710</v>
      </c>
      <c r="D8" s="23">
        <f>C8*0.65</f>
        <v>461.5</v>
      </c>
      <c r="E8" s="23"/>
      <c r="F8" s="23"/>
      <c r="G8" s="23"/>
      <c r="H8" s="23"/>
      <c r="I8" s="23">
        <f>5%*ALLOCATION[[#This Row],[NET PAY]]</f>
        <v>35.5</v>
      </c>
      <c r="J8" s="23"/>
      <c r="K8" s="23"/>
      <c r="L8" s="23">
        <f>20%*ALLOCATION[[#This Row],[NET PAY]]</f>
        <v>142</v>
      </c>
      <c r="M8" s="23">
        <f>7%*ALLOCATION[[#This Row],[NET PAY]]</f>
        <v>49.7</v>
      </c>
      <c r="N8" s="23">
        <f t="shared" ref="N8:N22" si="0">C8*0.03</f>
        <v>21.3</v>
      </c>
    </row>
    <row r="9" spans="2:14" x14ac:dyDescent="0.25">
      <c r="B9" s="30">
        <f t="shared" ref="B9:B49" si="1">B8+14</f>
        <v>45840</v>
      </c>
      <c r="C9" s="23">
        <v>710</v>
      </c>
      <c r="D9" s="23">
        <f>C9*0.65</f>
        <v>461.5</v>
      </c>
      <c r="E9" s="23"/>
      <c r="F9" s="23"/>
      <c r="G9" s="23"/>
      <c r="H9" s="23"/>
      <c r="I9" s="23">
        <f>5%*ALLOCATION[[#This Row],[NET PAY]]</f>
        <v>35.5</v>
      </c>
      <c r="J9" s="23"/>
      <c r="K9" s="23"/>
      <c r="L9" s="23">
        <f>20%*ALLOCATION[[#This Row],[NET PAY]]</f>
        <v>142</v>
      </c>
      <c r="M9" s="23">
        <f>7%*ALLOCATION[[#This Row],[NET PAY]]</f>
        <v>49.7</v>
      </c>
      <c r="N9" s="23">
        <f t="shared" si="0"/>
        <v>21.3</v>
      </c>
    </row>
    <row r="10" spans="2:14" x14ac:dyDescent="0.25">
      <c r="B10" s="30">
        <f t="shared" si="1"/>
        <v>45854</v>
      </c>
      <c r="C10" s="23">
        <v>710</v>
      </c>
      <c r="D10" s="23">
        <f>C10*0.65</f>
        <v>461.5</v>
      </c>
      <c r="E10" s="23"/>
      <c r="F10" s="23"/>
      <c r="G10" s="23"/>
      <c r="H10" s="23"/>
      <c r="I10" s="23">
        <f>5%*ALLOCATION[[#This Row],[NET PAY]]</f>
        <v>35.5</v>
      </c>
      <c r="J10" s="23"/>
      <c r="K10" s="23"/>
      <c r="L10" s="23">
        <f>20%*ALLOCATION[[#This Row],[NET PAY]]</f>
        <v>142</v>
      </c>
      <c r="M10" s="23">
        <f>7%*ALLOCATION[[#This Row],[NET PAY]]</f>
        <v>49.7</v>
      </c>
      <c r="N10" s="23">
        <f t="shared" si="0"/>
        <v>21.3</v>
      </c>
    </row>
    <row r="11" spans="2:14" x14ac:dyDescent="0.25">
      <c r="B11" s="30">
        <f t="shared" si="1"/>
        <v>45868</v>
      </c>
      <c r="C11" s="23">
        <v>710</v>
      </c>
      <c r="D11" s="23">
        <f t="shared" ref="D11:D49" si="2">C11*0.65</f>
        <v>461.5</v>
      </c>
      <c r="E11" s="23"/>
      <c r="F11" s="23"/>
      <c r="G11" s="23"/>
      <c r="H11" s="23"/>
      <c r="I11" s="23">
        <f>5%*ALLOCATION[[#This Row],[NET PAY]]</f>
        <v>35.5</v>
      </c>
      <c r="J11" s="23"/>
      <c r="K11" s="23"/>
      <c r="L11" s="23">
        <f>20%*ALLOCATION[[#This Row],[NET PAY]]</f>
        <v>142</v>
      </c>
      <c r="M11" s="23">
        <f>7%*ALLOCATION[[#This Row],[NET PAY]]</f>
        <v>49.7</v>
      </c>
      <c r="N11" s="23">
        <f t="shared" si="0"/>
        <v>21.3</v>
      </c>
    </row>
    <row r="12" spans="2:14" x14ac:dyDescent="0.25">
      <c r="B12" s="30">
        <f t="shared" si="1"/>
        <v>45882</v>
      </c>
      <c r="C12" s="23">
        <v>710</v>
      </c>
      <c r="D12" s="23">
        <f t="shared" si="2"/>
        <v>461.5</v>
      </c>
      <c r="E12" s="23"/>
      <c r="F12" s="23"/>
      <c r="G12" s="23"/>
      <c r="H12" s="23"/>
      <c r="I12" s="23">
        <f>5%*ALLOCATION[[#This Row],[NET PAY]]</f>
        <v>35.5</v>
      </c>
      <c r="J12" s="23"/>
      <c r="K12" s="23"/>
      <c r="L12" s="23">
        <f>20%*ALLOCATION[[#This Row],[NET PAY]]</f>
        <v>142</v>
      </c>
      <c r="M12" s="23">
        <f>7%*ALLOCATION[[#This Row],[NET PAY]]</f>
        <v>49.7</v>
      </c>
      <c r="N12" s="23">
        <f t="shared" si="0"/>
        <v>21.3</v>
      </c>
    </row>
    <row r="13" spans="2:14" x14ac:dyDescent="0.25">
      <c r="B13" s="30">
        <f t="shared" si="1"/>
        <v>45896</v>
      </c>
      <c r="C13" s="23">
        <v>710</v>
      </c>
      <c r="D13" s="23">
        <f t="shared" si="2"/>
        <v>461.5</v>
      </c>
      <c r="E13" s="23"/>
      <c r="F13" s="23"/>
      <c r="G13" s="23"/>
      <c r="H13" s="23"/>
      <c r="I13" s="23">
        <f>5%*ALLOCATION[[#This Row],[NET PAY]]</f>
        <v>35.5</v>
      </c>
      <c r="J13" s="23"/>
      <c r="K13" s="23"/>
      <c r="L13" s="23">
        <f>20%*ALLOCATION[[#This Row],[NET PAY]]</f>
        <v>142</v>
      </c>
      <c r="M13" s="23">
        <f>7%*ALLOCATION[[#This Row],[NET PAY]]</f>
        <v>49.7</v>
      </c>
      <c r="N13" s="23">
        <f t="shared" si="0"/>
        <v>21.3</v>
      </c>
    </row>
    <row r="14" spans="2:14" x14ac:dyDescent="0.25">
      <c r="B14" s="30">
        <f t="shared" si="1"/>
        <v>45910</v>
      </c>
      <c r="C14" s="23">
        <v>710</v>
      </c>
      <c r="D14" s="23">
        <f t="shared" si="2"/>
        <v>461.5</v>
      </c>
      <c r="E14" s="23"/>
      <c r="F14" s="23"/>
      <c r="G14" s="23"/>
      <c r="H14" s="23"/>
      <c r="I14" s="23">
        <f>5%*ALLOCATION[[#This Row],[NET PAY]]</f>
        <v>35.5</v>
      </c>
      <c r="J14" s="23"/>
      <c r="K14" s="23"/>
      <c r="L14" s="23">
        <f>20%*ALLOCATION[[#This Row],[NET PAY]]</f>
        <v>142</v>
      </c>
      <c r="M14" s="23">
        <f>7%*ALLOCATION[[#This Row],[NET PAY]]</f>
        <v>49.7</v>
      </c>
      <c r="N14" s="23">
        <f t="shared" si="0"/>
        <v>21.3</v>
      </c>
    </row>
    <row r="15" spans="2:14" x14ac:dyDescent="0.25">
      <c r="B15" s="30">
        <f t="shared" si="1"/>
        <v>45924</v>
      </c>
      <c r="C15" s="23">
        <v>710</v>
      </c>
      <c r="D15" s="23">
        <f t="shared" si="2"/>
        <v>461.5</v>
      </c>
      <c r="E15" s="23"/>
      <c r="F15" s="23"/>
      <c r="G15" s="23"/>
      <c r="H15" s="23"/>
      <c r="I15" s="23">
        <f>5%*ALLOCATION[[#This Row],[NET PAY]]</f>
        <v>35.5</v>
      </c>
      <c r="J15" s="23"/>
      <c r="K15" s="23"/>
      <c r="L15" s="23">
        <f>20%*ALLOCATION[[#This Row],[NET PAY]]</f>
        <v>142</v>
      </c>
      <c r="M15" s="23">
        <f>7%*ALLOCATION[[#This Row],[NET PAY]]</f>
        <v>49.7</v>
      </c>
      <c r="N15" s="23">
        <f t="shared" si="0"/>
        <v>21.3</v>
      </c>
    </row>
    <row r="16" spans="2:14" x14ac:dyDescent="0.25">
      <c r="B16" s="30">
        <f t="shared" si="1"/>
        <v>45938</v>
      </c>
      <c r="C16" s="23">
        <v>710</v>
      </c>
      <c r="D16" s="23">
        <f t="shared" si="2"/>
        <v>461.5</v>
      </c>
      <c r="E16" s="23"/>
      <c r="F16" s="23"/>
      <c r="G16" s="23"/>
      <c r="H16" s="23"/>
      <c r="I16" s="23">
        <f>5%*ALLOCATION[[#This Row],[NET PAY]]</f>
        <v>35.5</v>
      </c>
      <c r="J16" s="23"/>
      <c r="K16" s="23"/>
      <c r="L16" s="23">
        <f>20%*ALLOCATION[[#This Row],[NET PAY]]</f>
        <v>142</v>
      </c>
      <c r="M16" s="23">
        <f>7%*ALLOCATION[[#This Row],[NET PAY]]</f>
        <v>49.7</v>
      </c>
      <c r="N16" s="23">
        <f t="shared" si="0"/>
        <v>21.3</v>
      </c>
    </row>
    <row r="17" spans="2:14" x14ac:dyDescent="0.25">
      <c r="B17" s="30">
        <f t="shared" si="1"/>
        <v>45952</v>
      </c>
      <c r="C17" s="23">
        <v>710</v>
      </c>
      <c r="D17" s="23">
        <f t="shared" si="2"/>
        <v>461.5</v>
      </c>
      <c r="E17" s="23"/>
      <c r="F17" s="23"/>
      <c r="G17" s="23"/>
      <c r="H17" s="23"/>
      <c r="I17" s="23">
        <f>5%*ALLOCATION[[#This Row],[NET PAY]]</f>
        <v>35.5</v>
      </c>
      <c r="J17" s="23"/>
      <c r="K17" s="23"/>
      <c r="L17" s="23">
        <f>20%*ALLOCATION[[#This Row],[NET PAY]]</f>
        <v>142</v>
      </c>
      <c r="M17" s="23">
        <f>7%*ALLOCATION[[#This Row],[NET PAY]]</f>
        <v>49.7</v>
      </c>
      <c r="N17" s="23">
        <f t="shared" si="0"/>
        <v>21.3</v>
      </c>
    </row>
    <row r="18" spans="2:14" x14ac:dyDescent="0.25">
      <c r="B18" s="30">
        <f t="shared" si="1"/>
        <v>45966</v>
      </c>
      <c r="C18" s="23">
        <v>710</v>
      </c>
      <c r="D18" s="23">
        <f t="shared" si="2"/>
        <v>461.5</v>
      </c>
      <c r="E18" s="23"/>
      <c r="F18" s="23"/>
      <c r="G18" s="23"/>
      <c r="H18" s="23"/>
      <c r="I18" s="23">
        <f>5%*ALLOCATION[[#This Row],[NET PAY]]</f>
        <v>35.5</v>
      </c>
      <c r="J18" s="23"/>
      <c r="K18" s="23"/>
      <c r="L18" s="23">
        <f>20%*ALLOCATION[[#This Row],[NET PAY]]</f>
        <v>142</v>
      </c>
      <c r="M18" s="23">
        <f>7%*ALLOCATION[[#This Row],[NET PAY]]</f>
        <v>49.7</v>
      </c>
      <c r="N18" s="23">
        <f t="shared" si="0"/>
        <v>21.3</v>
      </c>
    </row>
    <row r="19" spans="2:14" x14ac:dyDescent="0.25">
      <c r="B19" s="30">
        <f t="shared" si="1"/>
        <v>45980</v>
      </c>
      <c r="C19" s="23">
        <v>710</v>
      </c>
      <c r="D19" s="23">
        <f t="shared" si="2"/>
        <v>461.5</v>
      </c>
      <c r="E19" s="23"/>
      <c r="F19" s="23"/>
      <c r="G19" s="23"/>
      <c r="H19" s="23"/>
      <c r="I19" s="23">
        <f>5%*ALLOCATION[[#This Row],[NET PAY]]</f>
        <v>35.5</v>
      </c>
      <c r="J19" s="23"/>
      <c r="K19" s="23"/>
      <c r="L19" s="23">
        <f>20%*ALLOCATION[[#This Row],[NET PAY]]</f>
        <v>142</v>
      </c>
      <c r="M19" s="23">
        <f>7%*ALLOCATION[[#This Row],[NET PAY]]</f>
        <v>49.7</v>
      </c>
      <c r="N19" s="23">
        <f t="shared" si="0"/>
        <v>21.3</v>
      </c>
    </row>
    <row r="20" spans="2:14" x14ac:dyDescent="0.25">
      <c r="B20" s="30">
        <f t="shared" si="1"/>
        <v>45994</v>
      </c>
      <c r="C20" s="23">
        <v>710</v>
      </c>
      <c r="D20" s="23">
        <f t="shared" si="2"/>
        <v>461.5</v>
      </c>
      <c r="E20" s="23"/>
      <c r="F20" s="23"/>
      <c r="G20" s="23"/>
      <c r="H20" s="23"/>
      <c r="I20" s="23">
        <f>5%*ALLOCATION[[#This Row],[NET PAY]]</f>
        <v>35.5</v>
      </c>
      <c r="J20" s="23"/>
      <c r="K20" s="23"/>
      <c r="L20" s="23">
        <f>20%*ALLOCATION[[#This Row],[NET PAY]]</f>
        <v>142</v>
      </c>
      <c r="M20" s="23">
        <f>7%*ALLOCATION[[#This Row],[NET PAY]]</f>
        <v>49.7</v>
      </c>
      <c r="N20" s="23">
        <f t="shared" si="0"/>
        <v>21.3</v>
      </c>
    </row>
    <row r="21" spans="2:14" x14ac:dyDescent="0.25">
      <c r="B21" s="30">
        <f t="shared" si="1"/>
        <v>46008</v>
      </c>
      <c r="C21" s="23">
        <v>710</v>
      </c>
      <c r="D21" s="23">
        <f t="shared" si="2"/>
        <v>461.5</v>
      </c>
      <c r="E21" s="23"/>
      <c r="F21" s="23"/>
      <c r="G21" s="23"/>
      <c r="H21" s="23"/>
      <c r="I21" s="23">
        <f>5%*ALLOCATION[[#This Row],[NET PAY]]</f>
        <v>35.5</v>
      </c>
      <c r="J21" s="23"/>
      <c r="K21" s="23"/>
      <c r="L21" s="23">
        <f>20%*ALLOCATION[[#This Row],[NET PAY]]</f>
        <v>142</v>
      </c>
      <c r="M21" s="23">
        <f>7%*ALLOCATION[[#This Row],[NET PAY]]</f>
        <v>49.7</v>
      </c>
      <c r="N21" s="23">
        <f t="shared" si="0"/>
        <v>21.3</v>
      </c>
    </row>
    <row r="22" spans="2:14" x14ac:dyDescent="0.25">
      <c r="B22" s="30">
        <f t="shared" si="1"/>
        <v>46022</v>
      </c>
      <c r="C22" s="23">
        <v>710</v>
      </c>
      <c r="D22" s="23">
        <f t="shared" si="2"/>
        <v>461.5</v>
      </c>
      <c r="E22" s="23"/>
      <c r="F22" s="23"/>
      <c r="G22" s="23"/>
      <c r="H22" s="23"/>
      <c r="I22" s="23">
        <f>5%*ALLOCATION[[#This Row],[NET PAY]]</f>
        <v>35.5</v>
      </c>
      <c r="J22" s="23"/>
      <c r="K22" s="23"/>
      <c r="L22" s="23">
        <f>20%*ALLOCATION[[#This Row],[NET PAY]]</f>
        <v>142</v>
      </c>
      <c r="M22" s="23">
        <f>7%*ALLOCATION[[#This Row],[NET PAY]]</f>
        <v>49.7</v>
      </c>
      <c r="N22" s="23">
        <f t="shared" si="0"/>
        <v>21.3</v>
      </c>
    </row>
    <row r="23" spans="2:14" ht="15.75" thickBot="1" x14ac:dyDescent="0.3">
      <c r="B23" s="38" t="s">
        <v>96</v>
      </c>
      <c r="C23" s="39">
        <f>SUBTOTAL(9,C7:C22)</f>
        <v>11136.42</v>
      </c>
      <c r="D23" s="39">
        <f t="shared" ref="D23" si="3">SUBTOTAL(9,D7:D22)</f>
        <v>6922.5</v>
      </c>
      <c r="E23" s="39">
        <f t="shared" ref="E23" si="4">SUBTOTAL(9,E7:E22)</f>
        <v>550</v>
      </c>
      <c r="F23" s="39">
        <f t="shared" ref="F23" si="5">SUBTOTAL(9,F7:F22)</f>
        <v>0</v>
      </c>
      <c r="G23" s="39">
        <f t="shared" ref="G23" si="6">SUBTOTAL(9,G7:G22)</f>
        <v>0</v>
      </c>
      <c r="H23" s="39">
        <f t="shared" ref="H23" si="7">SUBTOTAL(9,H7:H22)</f>
        <v>0</v>
      </c>
      <c r="I23" s="39">
        <f>5%*ALLOCATION[[#This Row],[NET PAY]]</f>
        <v>556.82100000000003</v>
      </c>
      <c r="J23" s="39">
        <f t="shared" ref="J23" si="8">SUBTOTAL(9,J7:J22)</f>
        <v>0</v>
      </c>
      <c r="K23" s="39">
        <f t="shared" ref="K23" si="9">SUBTOTAL(9,K7:K22)</f>
        <v>0</v>
      </c>
      <c r="L23" s="39">
        <f>20%*ALLOCATION[[#This Row],[NET PAY]]</f>
        <v>2227.2840000000001</v>
      </c>
      <c r="M23" s="39">
        <f>7%*ALLOCATION[[#This Row],[NET PAY]]</f>
        <v>779.54940000000011</v>
      </c>
      <c r="N23" s="39">
        <f t="shared" ref="N23" si="10">SUBTOTAL(9,N7:N22)</f>
        <v>54.920000000000073</v>
      </c>
    </row>
    <row r="24" spans="2:14" x14ac:dyDescent="0.25">
      <c r="B24" s="30">
        <f>B22+14</f>
        <v>46036</v>
      </c>
      <c r="C24" s="23">
        <v>710</v>
      </c>
      <c r="D24" s="23">
        <f t="shared" si="2"/>
        <v>461.5</v>
      </c>
      <c r="E24" s="23"/>
      <c r="F24" s="23"/>
      <c r="G24" s="23"/>
      <c r="H24" s="23"/>
      <c r="I24" s="23">
        <f>5%*ALLOCATION[[#This Row],[NET PAY]]</f>
        <v>35.5</v>
      </c>
      <c r="J24" s="23"/>
      <c r="K24" s="23"/>
      <c r="L24" s="23">
        <f>20%*ALLOCATION[[#This Row],[NET PAY]]</f>
        <v>142</v>
      </c>
      <c r="M24" s="23">
        <f>7%*ALLOCATION[[#This Row],[NET PAY]]</f>
        <v>49.7</v>
      </c>
      <c r="N24" s="23">
        <f t="shared" ref="N24:N49" si="11">C24*0.03</f>
        <v>21.3</v>
      </c>
    </row>
    <row r="25" spans="2:14" x14ac:dyDescent="0.25">
      <c r="B25" s="30">
        <f t="shared" si="1"/>
        <v>46050</v>
      </c>
      <c r="C25" s="23">
        <v>710</v>
      </c>
      <c r="D25" s="23">
        <f t="shared" si="2"/>
        <v>461.5</v>
      </c>
      <c r="E25" s="23"/>
      <c r="F25" s="23"/>
      <c r="G25" s="23"/>
      <c r="H25" s="23"/>
      <c r="I25" s="23">
        <f>5%*ALLOCATION[[#This Row],[NET PAY]]</f>
        <v>35.5</v>
      </c>
      <c r="J25" s="23"/>
      <c r="K25" s="23"/>
      <c r="L25" s="23">
        <f>20%*ALLOCATION[[#This Row],[NET PAY]]</f>
        <v>142</v>
      </c>
      <c r="M25" s="23">
        <f>7%*ALLOCATION[[#This Row],[NET PAY]]</f>
        <v>49.7</v>
      </c>
      <c r="N25" s="23">
        <f t="shared" si="11"/>
        <v>21.3</v>
      </c>
    </row>
    <row r="26" spans="2:14" x14ac:dyDescent="0.25">
      <c r="B26" s="30">
        <f t="shared" si="1"/>
        <v>46064</v>
      </c>
      <c r="C26" s="23">
        <v>710</v>
      </c>
      <c r="D26" s="23">
        <f t="shared" si="2"/>
        <v>461.5</v>
      </c>
      <c r="E26" s="23"/>
      <c r="F26" s="23"/>
      <c r="G26" s="23"/>
      <c r="H26" s="23"/>
      <c r="I26" s="23">
        <f>5%*ALLOCATION[[#This Row],[NET PAY]]</f>
        <v>35.5</v>
      </c>
      <c r="J26" s="23"/>
      <c r="K26" s="23"/>
      <c r="L26" s="23">
        <f>20%*ALLOCATION[[#This Row],[NET PAY]]</f>
        <v>142</v>
      </c>
      <c r="M26" s="23">
        <f>7%*ALLOCATION[[#This Row],[NET PAY]]</f>
        <v>49.7</v>
      </c>
      <c r="N26" s="23">
        <f t="shared" si="11"/>
        <v>21.3</v>
      </c>
    </row>
    <row r="27" spans="2:14" x14ac:dyDescent="0.25">
      <c r="B27" s="30">
        <f t="shared" si="1"/>
        <v>46078</v>
      </c>
      <c r="C27" s="23">
        <v>710</v>
      </c>
      <c r="D27" s="23">
        <f t="shared" si="2"/>
        <v>461.5</v>
      </c>
      <c r="E27" s="23"/>
      <c r="F27" s="23"/>
      <c r="G27" s="23"/>
      <c r="H27" s="23"/>
      <c r="I27" s="23">
        <f>5%*ALLOCATION[[#This Row],[NET PAY]]</f>
        <v>35.5</v>
      </c>
      <c r="J27" s="23"/>
      <c r="K27" s="23"/>
      <c r="L27" s="23">
        <f>20%*ALLOCATION[[#This Row],[NET PAY]]</f>
        <v>142</v>
      </c>
      <c r="M27" s="23">
        <f>7%*ALLOCATION[[#This Row],[NET PAY]]</f>
        <v>49.7</v>
      </c>
      <c r="N27" s="23">
        <f t="shared" si="11"/>
        <v>21.3</v>
      </c>
    </row>
    <row r="28" spans="2:14" x14ac:dyDescent="0.25">
      <c r="B28" s="30">
        <f t="shared" si="1"/>
        <v>46092</v>
      </c>
      <c r="C28" s="23">
        <v>710</v>
      </c>
      <c r="D28" s="23">
        <f t="shared" si="2"/>
        <v>461.5</v>
      </c>
      <c r="E28" s="23"/>
      <c r="F28" s="23"/>
      <c r="G28" s="23"/>
      <c r="H28" s="23"/>
      <c r="I28" s="23">
        <f>5%*ALLOCATION[[#This Row],[NET PAY]]</f>
        <v>35.5</v>
      </c>
      <c r="J28" s="23"/>
      <c r="K28" s="23"/>
      <c r="L28" s="23">
        <f>20%*ALLOCATION[[#This Row],[NET PAY]]</f>
        <v>142</v>
      </c>
      <c r="M28" s="23">
        <f>7%*ALLOCATION[[#This Row],[NET PAY]]</f>
        <v>49.7</v>
      </c>
      <c r="N28" s="23">
        <f t="shared" si="11"/>
        <v>21.3</v>
      </c>
    </row>
    <row r="29" spans="2:14" x14ac:dyDescent="0.25">
      <c r="B29" s="30">
        <f t="shared" si="1"/>
        <v>46106</v>
      </c>
      <c r="C29" s="23">
        <v>710</v>
      </c>
      <c r="D29" s="23">
        <f t="shared" si="2"/>
        <v>461.5</v>
      </c>
      <c r="E29" s="23"/>
      <c r="F29" s="23"/>
      <c r="G29" s="23"/>
      <c r="H29" s="23"/>
      <c r="I29" s="23">
        <f>5%*ALLOCATION[[#This Row],[NET PAY]]</f>
        <v>35.5</v>
      </c>
      <c r="J29" s="23"/>
      <c r="K29" s="23"/>
      <c r="L29" s="23">
        <f>20%*ALLOCATION[[#This Row],[NET PAY]]</f>
        <v>142</v>
      </c>
      <c r="M29" s="23">
        <f>7%*ALLOCATION[[#This Row],[NET PAY]]</f>
        <v>49.7</v>
      </c>
      <c r="N29" s="23">
        <f t="shared" si="11"/>
        <v>21.3</v>
      </c>
    </row>
    <row r="30" spans="2:14" x14ac:dyDescent="0.25">
      <c r="B30" s="30">
        <f t="shared" si="1"/>
        <v>46120</v>
      </c>
      <c r="C30" s="23">
        <v>710</v>
      </c>
      <c r="D30" s="23">
        <f t="shared" si="2"/>
        <v>461.5</v>
      </c>
      <c r="E30" s="23"/>
      <c r="F30" s="23"/>
      <c r="G30" s="23"/>
      <c r="H30" s="23"/>
      <c r="I30" s="23">
        <f>5%*ALLOCATION[[#This Row],[NET PAY]]</f>
        <v>35.5</v>
      </c>
      <c r="J30" s="23"/>
      <c r="K30" s="23"/>
      <c r="L30" s="23">
        <f>20%*ALLOCATION[[#This Row],[NET PAY]]</f>
        <v>142</v>
      </c>
      <c r="M30" s="23">
        <f>7%*ALLOCATION[[#This Row],[NET PAY]]</f>
        <v>49.7</v>
      </c>
      <c r="N30" s="23">
        <f t="shared" si="11"/>
        <v>21.3</v>
      </c>
    </row>
    <row r="31" spans="2:14" x14ac:dyDescent="0.25">
      <c r="B31" s="30">
        <f t="shared" si="1"/>
        <v>46134</v>
      </c>
      <c r="C31" s="23">
        <v>710</v>
      </c>
      <c r="D31" s="23">
        <f t="shared" si="2"/>
        <v>461.5</v>
      </c>
      <c r="E31" s="23"/>
      <c r="F31" s="23"/>
      <c r="G31" s="23"/>
      <c r="H31" s="23"/>
      <c r="I31" s="23">
        <f>5%*ALLOCATION[[#This Row],[NET PAY]]</f>
        <v>35.5</v>
      </c>
      <c r="J31" s="23"/>
      <c r="K31" s="23"/>
      <c r="L31" s="23">
        <f>20%*ALLOCATION[[#This Row],[NET PAY]]</f>
        <v>142</v>
      </c>
      <c r="M31" s="23">
        <f>7%*ALLOCATION[[#This Row],[NET PAY]]</f>
        <v>49.7</v>
      </c>
      <c r="N31" s="23">
        <f t="shared" si="11"/>
        <v>21.3</v>
      </c>
    </row>
    <row r="32" spans="2:14" x14ac:dyDescent="0.25">
      <c r="B32" s="30">
        <f t="shared" si="1"/>
        <v>46148</v>
      </c>
      <c r="C32" s="23">
        <v>710</v>
      </c>
      <c r="D32" s="23">
        <f t="shared" si="2"/>
        <v>461.5</v>
      </c>
      <c r="E32" s="23"/>
      <c r="F32" s="23"/>
      <c r="G32" s="23"/>
      <c r="H32" s="23"/>
      <c r="I32" s="23">
        <f>5%*ALLOCATION[[#This Row],[NET PAY]]</f>
        <v>35.5</v>
      </c>
      <c r="J32" s="23"/>
      <c r="K32" s="23"/>
      <c r="L32" s="23">
        <f>20%*ALLOCATION[[#This Row],[NET PAY]]</f>
        <v>142</v>
      </c>
      <c r="M32" s="23">
        <f>7%*ALLOCATION[[#This Row],[NET PAY]]</f>
        <v>49.7</v>
      </c>
      <c r="N32" s="23">
        <f t="shared" si="11"/>
        <v>21.3</v>
      </c>
    </row>
    <row r="33" spans="2:14" x14ac:dyDescent="0.25">
      <c r="B33" s="30">
        <f t="shared" si="1"/>
        <v>46162</v>
      </c>
      <c r="C33" s="23">
        <v>710</v>
      </c>
      <c r="D33" s="23">
        <f t="shared" si="2"/>
        <v>461.5</v>
      </c>
      <c r="E33" s="23"/>
      <c r="F33" s="23"/>
      <c r="G33" s="23"/>
      <c r="H33" s="23"/>
      <c r="I33" s="23">
        <f>5%*ALLOCATION[[#This Row],[NET PAY]]</f>
        <v>35.5</v>
      </c>
      <c r="J33" s="23"/>
      <c r="K33" s="23"/>
      <c r="L33" s="23">
        <f>20%*ALLOCATION[[#This Row],[NET PAY]]</f>
        <v>142</v>
      </c>
      <c r="M33" s="23">
        <f>7%*ALLOCATION[[#This Row],[NET PAY]]</f>
        <v>49.7</v>
      </c>
      <c r="N33" s="23">
        <f t="shared" si="11"/>
        <v>21.3</v>
      </c>
    </row>
    <row r="34" spans="2:14" x14ac:dyDescent="0.25">
      <c r="B34" s="30">
        <f t="shared" si="1"/>
        <v>46176</v>
      </c>
      <c r="C34" s="23">
        <v>710</v>
      </c>
      <c r="D34" s="23">
        <f t="shared" si="2"/>
        <v>461.5</v>
      </c>
      <c r="E34" s="23"/>
      <c r="F34" s="23"/>
      <c r="G34" s="23"/>
      <c r="H34" s="23"/>
      <c r="I34" s="23">
        <f>5%*ALLOCATION[[#This Row],[NET PAY]]</f>
        <v>35.5</v>
      </c>
      <c r="J34" s="23"/>
      <c r="K34" s="23"/>
      <c r="L34" s="23">
        <f>20%*ALLOCATION[[#This Row],[NET PAY]]</f>
        <v>142</v>
      </c>
      <c r="M34" s="23">
        <f>7%*ALLOCATION[[#This Row],[NET PAY]]</f>
        <v>49.7</v>
      </c>
      <c r="N34" s="23">
        <f t="shared" si="11"/>
        <v>21.3</v>
      </c>
    </row>
    <row r="35" spans="2:14" x14ac:dyDescent="0.25">
      <c r="B35" s="30">
        <f t="shared" si="1"/>
        <v>46190</v>
      </c>
      <c r="C35" s="23">
        <v>710</v>
      </c>
      <c r="D35" s="23">
        <f t="shared" si="2"/>
        <v>461.5</v>
      </c>
      <c r="E35" s="23"/>
      <c r="F35" s="23"/>
      <c r="G35" s="23"/>
      <c r="H35" s="23"/>
      <c r="I35" s="23">
        <f>5%*ALLOCATION[[#This Row],[NET PAY]]</f>
        <v>35.5</v>
      </c>
      <c r="J35" s="23"/>
      <c r="K35" s="23"/>
      <c r="L35" s="23">
        <f>20%*ALLOCATION[[#This Row],[NET PAY]]</f>
        <v>142</v>
      </c>
      <c r="M35" s="23">
        <f>7%*ALLOCATION[[#This Row],[NET PAY]]</f>
        <v>49.7</v>
      </c>
      <c r="N35" s="23">
        <f t="shared" si="11"/>
        <v>21.3</v>
      </c>
    </row>
    <row r="36" spans="2:14" x14ac:dyDescent="0.25">
      <c r="B36" s="30">
        <f t="shared" si="1"/>
        <v>46204</v>
      </c>
      <c r="C36" s="23">
        <v>710</v>
      </c>
      <c r="D36" s="23">
        <f t="shared" si="2"/>
        <v>461.5</v>
      </c>
      <c r="E36" s="23"/>
      <c r="F36" s="23"/>
      <c r="G36" s="23"/>
      <c r="H36" s="23"/>
      <c r="I36" s="23">
        <f>5%*ALLOCATION[[#This Row],[NET PAY]]</f>
        <v>35.5</v>
      </c>
      <c r="J36" s="23"/>
      <c r="K36" s="23"/>
      <c r="L36" s="23">
        <f>20%*ALLOCATION[[#This Row],[NET PAY]]</f>
        <v>142</v>
      </c>
      <c r="M36" s="23">
        <f>7%*ALLOCATION[[#This Row],[NET PAY]]</f>
        <v>49.7</v>
      </c>
      <c r="N36" s="23">
        <f t="shared" si="11"/>
        <v>21.3</v>
      </c>
    </row>
    <row r="37" spans="2:14" x14ac:dyDescent="0.25">
      <c r="B37" s="30">
        <f t="shared" si="1"/>
        <v>46218</v>
      </c>
      <c r="C37" s="23">
        <v>710</v>
      </c>
      <c r="D37" s="23">
        <f t="shared" si="2"/>
        <v>461.5</v>
      </c>
      <c r="E37" s="23"/>
      <c r="F37" s="23"/>
      <c r="G37" s="23"/>
      <c r="H37" s="23"/>
      <c r="I37" s="23">
        <f>5%*ALLOCATION[[#This Row],[NET PAY]]</f>
        <v>35.5</v>
      </c>
      <c r="J37" s="23"/>
      <c r="K37" s="23"/>
      <c r="L37" s="23">
        <f>20%*ALLOCATION[[#This Row],[NET PAY]]</f>
        <v>142</v>
      </c>
      <c r="M37" s="23">
        <f>7%*ALLOCATION[[#This Row],[NET PAY]]</f>
        <v>49.7</v>
      </c>
      <c r="N37" s="23">
        <f t="shared" si="11"/>
        <v>21.3</v>
      </c>
    </row>
    <row r="38" spans="2:14" x14ac:dyDescent="0.25">
      <c r="B38" s="30">
        <f t="shared" si="1"/>
        <v>46232</v>
      </c>
      <c r="C38" s="23">
        <v>710</v>
      </c>
      <c r="D38" s="23">
        <f t="shared" si="2"/>
        <v>461.5</v>
      </c>
      <c r="E38" s="23"/>
      <c r="F38" s="23"/>
      <c r="G38" s="23"/>
      <c r="H38" s="23"/>
      <c r="I38" s="23">
        <f>5%*ALLOCATION[[#This Row],[NET PAY]]</f>
        <v>35.5</v>
      </c>
      <c r="J38" s="23"/>
      <c r="K38" s="23"/>
      <c r="L38" s="23">
        <f>20%*ALLOCATION[[#This Row],[NET PAY]]</f>
        <v>142</v>
      </c>
      <c r="M38" s="23">
        <f>7%*ALLOCATION[[#This Row],[NET PAY]]</f>
        <v>49.7</v>
      </c>
      <c r="N38" s="23">
        <f t="shared" si="11"/>
        <v>21.3</v>
      </c>
    </row>
    <row r="39" spans="2:14" x14ac:dyDescent="0.25">
      <c r="B39" s="30">
        <f t="shared" si="1"/>
        <v>46246</v>
      </c>
      <c r="C39" s="23">
        <v>710</v>
      </c>
      <c r="D39" s="23">
        <f t="shared" si="2"/>
        <v>461.5</v>
      </c>
      <c r="E39" s="23"/>
      <c r="F39" s="23"/>
      <c r="G39" s="23"/>
      <c r="H39" s="23"/>
      <c r="I39" s="23">
        <f>5%*ALLOCATION[[#This Row],[NET PAY]]</f>
        <v>35.5</v>
      </c>
      <c r="J39" s="23"/>
      <c r="K39" s="23"/>
      <c r="L39" s="23">
        <f>20%*ALLOCATION[[#This Row],[NET PAY]]</f>
        <v>142</v>
      </c>
      <c r="M39" s="23">
        <f>7%*ALLOCATION[[#This Row],[NET PAY]]</f>
        <v>49.7</v>
      </c>
      <c r="N39" s="23">
        <f t="shared" si="11"/>
        <v>21.3</v>
      </c>
    </row>
    <row r="40" spans="2:14" x14ac:dyDescent="0.25">
      <c r="B40" s="30">
        <f t="shared" si="1"/>
        <v>46260</v>
      </c>
      <c r="C40" s="23">
        <v>710</v>
      </c>
      <c r="D40" s="23">
        <f t="shared" si="2"/>
        <v>461.5</v>
      </c>
      <c r="E40" s="23"/>
      <c r="F40" s="23"/>
      <c r="G40" s="23"/>
      <c r="H40" s="23"/>
      <c r="I40" s="23">
        <f>5%*ALLOCATION[[#This Row],[NET PAY]]</f>
        <v>35.5</v>
      </c>
      <c r="J40" s="23"/>
      <c r="K40" s="23"/>
      <c r="L40" s="23">
        <f>20%*ALLOCATION[[#This Row],[NET PAY]]</f>
        <v>142</v>
      </c>
      <c r="M40" s="23">
        <f>7%*ALLOCATION[[#This Row],[NET PAY]]</f>
        <v>49.7</v>
      </c>
      <c r="N40" s="23">
        <f t="shared" si="11"/>
        <v>21.3</v>
      </c>
    </row>
    <row r="41" spans="2:14" x14ac:dyDescent="0.25">
      <c r="B41" s="30">
        <f t="shared" si="1"/>
        <v>46274</v>
      </c>
      <c r="C41" s="23">
        <v>710</v>
      </c>
      <c r="D41" s="23">
        <f t="shared" si="2"/>
        <v>461.5</v>
      </c>
      <c r="E41" s="23"/>
      <c r="F41" s="23"/>
      <c r="G41" s="23"/>
      <c r="H41" s="23"/>
      <c r="I41" s="23">
        <f>5%*ALLOCATION[[#This Row],[NET PAY]]</f>
        <v>35.5</v>
      </c>
      <c r="J41" s="23"/>
      <c r="K41" s="23"/>
      <c r="L41" s="23">
        <f>20%*ALLOCATION[[#This Row],[NET PAY]]</f>
        <v>142</v>
      </c>
      <c r="M41" s="23">
        <f>7%*ALLOCATION[[#This Row],[NET PAY]]</f>
        <v>49.7</v>
      </c>
      <c r="N41" s="23">
        <f t="shared" si="11"/>
        <v>21.3</v>
      </c>
    </row>
    <row r="42" spans="2:14" x14ac:dyDescent="0.25">
      <c r="B42" s="30">
        <f t="shared" si="1"/>
        <v>46288</v>
      </c>
      <c r="C42" s="23">
        <v>710</v>
      </c>
      <c r="D42" s="23">
        <f t="shared" si="2"/>
        <v>461.5</v>
      </c>
      <c r="E42" s="23"/>
      <c r="F42" s="23"/>
      <c r="G42" s="23"/>
      <c r="H42" s="23"/>
      <c r="I42" s="23">
        <f>5%*ALLOCATION[[#This Row],[NET PAY]]</f>
        <v>35.5</v>
      </c>
      <c r="J42" s="23"/>
      <c r="K42" s="23"/>
      <c r="L42" s="23">
        <f>20%*ALLOCATION[[#This Row],[NET PAY]]</f>
        <v>142</v>
      </c>
      <c r="M42" s="23">
        <f>7%*ALLOCATION[[#This Row],[NET PAY]]</f>
        <v>49.7</v>
      </c>
      <c r="N42" s="23">
        <f t="shared" si="11"/>
        <v>21.3</v>
      </c>
    </row>
    <row r="43" spans="2:14" x14ac:dyDescent="0.25">
      <c r="B43" s="30">
        <f t="shared" si="1"/>
        <v>46302</v>
      </c>
      <c r="C43" s="23">
        <v>710</v>
      </c>
      <c r="D43" s="23">
        <f t="shared" si="2"/>
        <v>461.5</v>
      </c>
      <c r="E43" s="23"/>
      <c r="F43" s="23"/>
      <c r="G43" s="23"/>
      <c r="H43" s="23"/>
      <c r="I43" s="23">
        <f>5%*ALLOCATION[[#This Row],[NET PAY]]</f>
        <v>35.5</v>
      </c>
      <c r="J43" s="23"/>
      <c r="K43" s="23"/>
      <c r="L43" s="23">
        <f>20%*ALLOCATION[[#This Row],[NET PAY]]</f>
        <v>142</v>
      </c>
      <c r="M43" s="23">
        <f>7%*ALLOCATION[[#This Row],[NET PAY]]</f>
        <v>49.7</v>
      </c>
      <c r="N43" s="23">
        <f t="shared" si="11"/>
        <v>21.3</v>
      </c>
    </row>
    <row r="44" spans="2:14" x14ac:dyDescent="0.25">
      <c r="B44" s="30">
        <f t="shared" si="1"/>
        <v>46316</v>
      </c>
      <c r="C44" s="23">
        <v>710</v>
      </c>
      <c r="D44" s="23">
        <f t="shared" si="2"/>
        <v>461.5</v>
      </c>
      <c r="E44" s="23"/>
      <c r="F44" s="23"/>
      <c r="G44" s="23"/>
      <c r="H44" s="23"/>
      <c r="I44" s="23">
        <f>5%*ALLOCATION[[#This Row],[NET PAY]]</f>
        <v>35.5</v>
      </c>
      <c r="J44" s="23"/>
      <c r="K44" s="23"/>
      <c r="L44" s="23">
        <f>20%*ALLOCATION[[#This Row],[NET PAY]]</f>
        <v>142</v>
      </c>
      <c r="M44" s="23">
        <f>7%*ALLOCATION[[#This Row],[NET PAY]]</f>
        <v>49.7</v>
      </c>
      <c r="N44" s="23">
        <f t="shared" si="11"/>
        <v>21.3</v>
      </c>
    </row>
    <row r="45" spans="2:14" x14ac:dyDescent="0.25">
      <c r="B45" s="30">
        <f t="shared" si="1"/>
        <v>46330</v>
      </c>
      <c r="C45" s="23">
        <v>710</v>
      </c>
      <c r="D45" s="23">
        <f t="shared" si="2"/>
        <v>461.5</v>
      </c>
      <c r="E45" s="23"/>
      <c r="F45" s="23"/>
      <c r="G45" s="23"/>
      <c r="H45" s="23"/>
      <c r="I45" s="23">
        <f>5%*ALLOCATION[[#This Row],[NET PAY]]</f>
        <v>35.5</v>
      </c>
      <c r="J45" s="23"/>
      <c r="K45" s="23"/>
      <c r="L45" s="23">
        <f>20%*ALLOCATION[[#This Row],[NET PAY]]</f>
        <v>142</v>
      </c>
      <c r="M45" s="23">
        <f>7%*ALLOCATION[[#This Row],[NET PAY]]</f>
        <v>49.7</v>
      </c>
      <c r="N45" s="23">
        <f t="shared" si="11"/>
        <v>21.3</v>
      </c>
    </row>
    <row r="46" spans="2:14" x14ac:dyDescent="0.25">
      <c r="B46" s="30">
        <f t="shared" si="1"/>
        <v>46344</v>
      </c>
      <c r="C46" s="23">
        <v>710</v>
      </c>
      <c r="D46" s="23">
        <f t="shared" si="2"/>
        <v>461.5</v>
      </c>
      <c r="E46" s="23"/>
      <c r="F46" s="23"/>
      <c r="G46" s="23"/>
      <c r="H46" s="23"/>
      <c r="I46" s="23">
        <f>5%*ALLOCATION[[#This Row],[NET PAY]]</f>
        <v>35.5</v>
      </c>
      <c r="J46" s="23"/>
      <c r="K46" s="23"/>
      <c r="L46" s="23">
        <f>20%*ALLOCATION[[#This Row],[NET PAY]]</f>
        <v>142</v>
      </c>
      <c r="M46" s="23">
        <f>7%*ALLOCATION[[#This Row],[NET PAY]]</f>
        <v>49.7</v>
      </c>
      <c r="N46" s="23">
        <f t="shared" si="11"/>
        <v>21.3</v>
      </c>
    </row>
    <row r="47" spans="2:14" x14ac:dyDescent="0.25">
      <c r="B47" s="30">
        <f t="shared" si="1"/>
        <v>46358</v>
      </c>
      <c r="C47" s="23">
        <v>710</v>
      </c>
      <c r="D47" s="23">
        <f t="shared" si="2"/>
        <v>461.5</v>
      </c>
      <c r="E47" s="23"/>
      <c r="F47" s="23"/>
      <c r="G47" s="23"/>
      <c r="H47" s="23"/>
      <c r="I47" s="23">
        <f>5%*ALLOCATION[[#This Row],[NET PAY]]</f>
        <v>35.5</v>
      </c>
      <c r="J47" s="23"/>
      <c r="K47" s="23"/>
      <c r="L47" s="23">
        <f>20%*ALLOCATION[[#This Row],[NET PAY]]</f>
        <v>142</v>
      </c>
      <c r="M47" s="23">
        <f>7%*ALLOCATION[[#This Row],[NET PAY]]</f>
        <v>49.7</v>
      </c>
      <c r="N47" s="23">
        <f t="shared" si="11"/>
        <v>21.3</v>
      </c>
    </row>
    <row r="48" spans="2:14" x14ac:dyDescent="0.25">
      <c r="B48" s="30">
        <f t="shared" si="1"/>
        <v>46372</v>
      </c>
      <c r="C48" s="23">
        <v>710</v>
      </c>
      <c r="D48" s="23">
        <f t="shared" si="2"/>
        <v>461.5</v>
      </c>
      <c r="E48" s="23"/>
      <c r="F48" s="23"/>
      <c r="G48" s="23"/>
      <c r="H48" s="23"/>
      <c r="I48" s="23">
        <f>5%*ALLOCATION[[#This Row],[NET PAY]]</f>
        <v>35.5</v>
      </c>
      <c r="J48" s="23"/>
      <c r="K48" s="23"/>
      <c r="L48" s="23">
        <f>20%*ALLOCATION[[#This Row],[NET PAY]]</f>
        <v>142</v>
      </c>
      <c r="M48" s="23">
        <f>7%*ALLOCATION[[#This Row],[NET PAY]]</f>
        <v>49.7</v>
      </c>
      <c r="N48" s="23">
        <f t="shared" si="11"/>
        <v>21.3</v>
      </c>
    </row>
    <row r="49" spans="2:14" x14ac:dyDescent="0.25">
      <c r="B49" s="30">
        <f t="shared" si="1"/>
        <v>46386</v>
      </c>
      <c r="C49" s="23">
        <v>710</v>
      </c>
      <c r="D49" s="23">
        <f t="shared" si="2"/>
        <v>461.5</v>
      </c>
      <c r="E49" s="23"/>
      <c r="F49" s="23"/>
      <c r="G49" s="23"/>
      <c r="H49" s="23"/>
      <c r="I49" s="23">
        <f>5%*ALLOCATION[[#This Row],[NET PAY]]</f>
        <v>35.5</v>
      </c>
      <c r="J49" s="23"/>
      <c r="K49" s="23"/>
      <c r="L49" s="23">
        <f>20%*ALLOCATION[[#This Row],[NET PAY]]</f>
        <v>142</v>
      </c>
      <c r="M49" s="23">
        <f>7%*ALLOCATION[[#This Row],[NET PAY]]</f>
        <v>49.7</v>
      </c>
      <c r="N49" s="23">
        <f t="shared" si="11"/>
        <v>21.3</v>
      </c>
    </row>
    <row r="50" spans="2:14" ht="15.75" thickBot="1" x14ac:dyDescent="0.3">
      <c r="B50" s="38" t="s">
        <v>97</v>
      </c>
      <c r="C50" s="39">
        <f>SUBTOTAL(9,C24:C49)</f>
        <v>18460</v>
      </c>
      <c r="D50" s="39">
        <f>C50*0.65</f>
        <v>11999</v>
      </c>
      <c r="E50" s="39"/>
      <c r="F50" s="39"/>
      <c r="G50" s="39"/>
      <c r="H50" s="39"/>
      <c r="I50" s="39">
        <f>5%*ALLOCATION[[#This Row],[NET PAY]]</f>
        <v>923</v>
      </c>
      <c r="J50" s="39"/>
      <c r="K50" s="39"/>
      <c r="L50" s="39">
        <f>20%*ALLOCATION[[#This Row],[NET PAY]]</f>
        <v>3692</v>
      </c>
      <c r="M50" s="39">
        <f>7%*ALLOCATION[[#This Row],[NET PAY]]</f>
        <v>1292.2</v>
      </c>
      <c r="N50" s="39">
        <f t="shared" ref="N50" si="12">M50*0.65</f>
        <v>839.93000000000006</v>
      </c>
    </row>
  </sheetData>
  <mergeCells count="2">
    <mergeCell ref="B3:N3"/>
    <mergeCell ref="B4:N4"/>
  </mergeCells>
  <phoneticPr fontId="9" type="noConversion"/>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B7EEE-E8EF-4AF9-8750-76768B495A60}">
  <sheetPr codeName="Sheet22"/>
  <dimension ref="B2"/>
  <sheetViews>
    <sheetView workbookViewId="0">
      <selection activeCell="B3" sqref="B3:N3"/>
    </sheetView>
  </sheetViews>
  <sheetFormatPr defaultRowHeight="15" x14ac:dyDescent="0.25"/>
  <cols>
    <col min="2" max="2" width="19.5" bestFit="1" customWidth="1"/>
  </cols>
  <sheetData>
    <row r="2" spans="2:2" x14ac:dyDescent="0.25">
      <c r="B2" t="str" cm="1">
        <f t="array" aca="1" ref="B2" ca="1">MID(CELL("filename",A1),FIND("]",CELL("filename",A1))+1,255)</f>
        <v>Sheet1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E6BC6-22C8-4E2D-ABDA-98628DBEB0F0}">
  <sheetPr codeName="Sheet17"/>
  <dimension ref="B2:H50"/>
  <sheetViews>
    <sheetView workbookViewId="0">
      <selection activeCell="G7" sqref="G7"/>
    </sheetView>
  </sheetViews>
  <sheetFormatPr defaultRowHeight="15" x14ac:dyDescent="0.25"/>
  <cols>
    <col min="2" max="2" width="19.5" bestFit="1" customWidth="1"/>
    <col min="3" max="8" width="11.75" bestFit="1" customWidth="1"/>
    <col min="9" max="9" width="22.625" customWidth="1"/>
    <col min="10" max="10" width="15.625" customWidth="1"/>
    <col min="11" max="11" width="17.625" customWidth="1"/>
    <col min="12" max="12" width="16" customWidth="1"/>
    <col min="13" max="13" width="16.5" customWidth="1"/>
    <col min="14" max="14" width="21.875" customWidth="1"/>
    <col min="15" max="15" width="17.5" customWidth="1"/>
    <col min="16" max="16" width="19.5" customWidth="1"/>
    <col min="17" max="17" width="17.875" customWidth="1"/>
    <col min="18" max="18" width="18.5" customWidth="1"/>
  </cols>
  <sheetData>
    <row r="2" spans="2:8" ht="33" x14ac:dyDescent="0.45">
      <c r="B2" s="63" t="str" cm="1">
        <f t="array" aca="1" ref="B2" ca="1">MID(CELL("filename",A1),FIND("]",CELL("filename",A1))+1,255)</f>
        <v>Paycheck Allocation, pro rata</v>
      </c>
      <c r="C2" s="63"/>
      <c r="D2" s="63"/>
      <c r="E2" s="63"/>
      <c r="F2" s="63"/>
      <c r="G2" s="63"/>
      <c r="H2" s="63"/>
    </row>
    <row r="3" spans="2:8" ht="22.5" x14ac:dyDescent="0.3">
      <c r="B3" s="74" t="s">
        <v>98</v>
      </c>
      <c r="C3" s="74"/>
      <c r="D3" s="74"/>
      <c r="E3" s="74"/>
      <c r="F3" s="74"/>
      <c r="G3" s="74"/>
      <c r="H3" s="74"/>
    </row>
    <row r="4" spans="2:8" ht="22.5" x14ac:dyDescent="0.3">
      <c r="B4" s="74" t="s">
        <v>62</v>
      </c>
      <c r="C4" s="74"/>
      <c r="D4" s="74"/>
      <c r="E4" s="74"/>
      <c r="F4" s="74"/>
      <c r="G4" s="74"/>
      <c r="H4" s="74"/>
    </row>
    <row r="6" spans="2:8" s="37" customFormat="1" ht="30" customHeight="1" x14ac:dyDescent="0.25">
      <c r="B6" s="37" t="s">
        <v>82</v>
      </c>
      <c r="C6" s="37" t="s">
        <v>83</v>
      </c>
      <c r="D6" s="37" t="s">
        <v>67</v>
      </c>
      <c r="E6" s="37" t="s">
        <v>94</v>
      </c>
      <c r="F6" s="37" t="s">
        <v>93</v>
      </c>
      <c r="G6" s="37" t="s">
        <v>95</v>
      </c>
      <c r="H6" s="37" t="s">
        <v>80</v>
      </c>
    </row>
    <row r="7" spans="2:8" x14ac:dyDescent="0.25">
      <c r="B7" s="30">
        <f>DATE(2025,6,4)</f>
        <v>45812</v>
      </c>
      <c r="C7" s="23">
        <v>710</v>
      </c>
      <c r="D7" s="23">
        <f>C7*0.65</f>
        <v>461.5</v>
      </c>
      <c r="E7" s="23">
        <f t="shared" ref="E7:E22" si="0">C7*0.05</f>
        <v>35.5</v>
      </c>
      <c r="F7" s="23">
        <f t="shared" ref="F7:F50" si="1">C7*0.2</f>
        <v>142</v>
      </c>
      <c r="G7" s="23">
        <f>C8*0.07</f>
        <v>49.7</v>
      </c>
      <c r="H7" s="23">
        <f t="shared" ref="H7:H22" si="2">C7*0.03</f>
        <v>21.3</v>
      </c>
    </row>
    <row r="8" spans="2:8" x14ac:dyDescent="0.25">
      <c r="B8" s="30">
        <f>B7+14</f>
        <v>45826</v>
      </c>
      <c r="C8" s="23">
        <v>710</v>
      </c>
      <c r="D8" s="23">
        <f>C8*0.65</f>
        <v>461.5</v>
      </c>
      <c r="E8" s="23">
        <f t="shared" si="0"/>
        <v>35.5</v>
      </c>
      <c r="F8" s="23">
        <f t="shared" si="1"/>
        <v>142</v>
      </c>
      <c r="G8" s="23">
        <f>C9*0.07</f>
        <v>49.7</v>
      </c>
      <c r="H8" s="23">
        <f t="shared" si="2"/>
        <v>21.3</v>
      </c>
    </row>
    <row r="9" spans="2:8" x14ac:dyDescent="0.25">
      <c r="B9" s="30">
        <f t="shared" ref="B9:B49" si="3">B8+14</f>
        <v>45840</v>
      </c>
      <c r="C9" s="23">
        <v>710</v>
      </c>
      <c r="D9" s="23">
        <f>C9*0.65</f>
        <v>461.5</v>
      </c>
      <c r="E9" s="23">
        <f t="shared" si="0"/>
        <v>35.5</v>
      </c>
      <c r="F9" s="23">
        <f t="shared" si="1"/>
        <v>142</v>
      </c>
      <c r="G9" s="23">
        <f t="shared" ref="G9:G22" si="4">C9*0.07</f>
        <v>49.7</v>
      </c>
      <c r="H9" s="23">
        <f t="shared" si="2"/>
        <v>21.3</v>
      </c>
    </row>
    <row r="10" spans="2:8" x14ac:dyDescent="0.25">
      <c r="B10" s="30">
        <f t="shared" si="3"/>
        <v>45854</v>
      </c>
      <c r="C10" s="23">
        <v>710</v>
      </c>
      <c r="D10" s="23">
        <f>C10*0.65</f>
        <v>461.5</v>
      </c>
      <c r="E10" s="23">
        <f t="shared" si="0"/>
        <v>35.5</v>
      </c>
      <c r="F10" s="23">
        <f t="shared" si="1"/>
        <v>142</v>
      </c>
      <c r="G10" s="23">
        <f t="shared" si="4"/>
        <v>49.7</v>
      </c>
      <c r="H10" s="23">
        <f t="shared" si="2"/>
        <v>21.3</v>
      </c>
    </row>
    <row r="11" spans="2:8" x14ac:dyDescent="0.25">
      <c r="B11" s="30">
        <f t="shared" si="3"/>
        <v>45868</v>
      </c>
      <c r="C11" s="23">
        <v>710</v>
      </c>
      <c r="D11" s="23">
        <f t="shared" ref="D11:D49" si="5">C11*0.65</f>
        <v>461.5</v>
      </c>
      <c r="E11" s="23">
        <f t="shared" si="0"/>
        <v>35.5</v>
      </c>
      <c r="F11" s="23">
        <f t="shared" si="1"/>
        <v>142</v>
      </c>
      <c r="G11" s="23">
        <f t="shared" si="4"/>
        <v>49.7</v>
      </c>
      <c r="H11" s="23">
        <f t="shared" si="2"/>
        <v>21.3</v>
      </c>
    </row>
    <row r="12" spans="2:8" x14ac:dyDescent="0.25">
      <c r="B12" s="30">
        <f t="shared" si="3"/>
        <v>45882</v>
      </c>
      <c r="C12" s="23">
        <v>710</v>
      </c>
      <c r="D12" s="23">
        <f t="shared" si="5"/>
        <v>461.5</v>
      </c>
      <c r="E12" s="23">
        <f t="shared" si="0"/>
        <v>35.5</v>
      </c>
      <c r="F12" s="23">
        <f t="shared" si="1"/>
        <v>142</v>
      </c>
      <c r="G12" s="23">
        <f t="shared" si="4"/>
        <v>49.7</v>
      </c>
      <c r="H12" s="23">
        <f t="shared" si="2"/>
        <v>21.3</v>
      </c>
    </row>
    <row r="13" spans="2:8" x14ac:dyDescent="0.25">
      <c r="B13" s="30">
        <f t="shared" si="3"/>
        <v>45896</v>
      </c>
      <c r="C13" s="23">
        <v>710</v>
      </c>
      <c r="D13" s="23">
        <f t="shared" si="5"/>
        <v>461.5</v>
      </c>
      <c r="E13" s="23">
        <f t="shared" si="0"/>
        <v>35.5</v>
      </c>
      <c r="F13" s="23">
        <f t="shared" si="1"/>
        <v>142</v>
      </c>
      <c r="G13" s="23">
        <f t="shared" si="4"/>
        <v>49.7</v>
      </c>
      <c r="H13" s="23">
        <f t="shared" si="2"/>
        <v>21.3</v>
      </c>
    </row>
    <row r="14" spans="2:8" x14ac:dyDescent="0.25">
      <c r="B14" s="30">
        <f t="shared" si="3"/>
        <v>45910</v>
      </c>
      <c r="C14" s="23">
        <v>710</v>
      </c>
      <c r="D14" s="23">
        <f t="shared" si="5"/>
        <v>461.5</v>
      </c>
      <c r="E14" s="23">
        <f t="shared" si="0"/>
        <v>35.5</v>
      </c>
      <c r="F14" s="23">
        <f t="shared" si="1"/>
        <v>142</v>
      </c>
      <c r="G14" s="23">
        <f t="shared" si="4"/>
        <v>49.7</v>
      </c>
      <c r="H14" s="23">
        <f t="shared" si="2"/>
        <v>21.3</v>
      </c>
    </row>
    <row r="15" spans="2:8" x14ac:dyDescent="0.25">
      <c r="B15" s="30">
        <f t="shared" si="3"/>
        <v>45924</v>
      </c>
      <c r="C15" s="23">
        <v>710</v>
      </c>
      <c r="D15" s="23">
        <f t="shared" si="5"/>
        <v>461.5</v>
      </c>
      <c r="E15" s="23">
        <f t="shared" si="0"/>
        <v>35.5</v>
      </c>
      <c r="F15" s="23">
        <f t="shared" si="1"/>
        <v>142</v>
      </c>
      <c r="G15" s="23">
        <f t="shared" si="4"/>
        <v>49.7</v>
      </c>
      <c r="H15" s="23">
        <f t="shared" si="2"/>
        <v>21.3</v>
      </c>
    </row>
    <row r="16" spans="2:8" x14ac:dyDescent="0.25">
      <c r="B16" s="30">
        <f t="shared" si="3"/>
        <v>45938</v>
      </c>
      <c r="C16" s="23">
        <v>710</v>
      </c>
      <c r="D16" s="23">
        <f t="shared" si="5"/>
        <v>461.5</v>
      </c>
      <c r="E16" s="23">
        <f t="shared" si="0"/>
        <v>35.5</v>
      </c>
      <c r="F16" s="23">
        <f t="shared" si="1"/>
        <v>142</v>
      </c>
      <c r="G16" s="23">
        <f t="shared" si="4"/>
        <v>49.7</v>
      </c>
      <c r="H16" s="23">
        <f t="shared" si="2"/>
        <v>21.3</v>
      </c>
    </row>
    <row r="17" spans="2:8" x14ac:dyDescent="0.25">
      <c r="B17" s="30">
        <f t="shared" si="3"/>
        <v>45952</v>
      </c>
      <c r="C17" s="23">
        <v>710</v>
      </c>
      <c r="D17" s="23">
        <f t="shared" si="5"/>
        <v>461.5</v>
      </c>
      <c r="E17" s="23">
        <f t="shared" si="0"/>
        <v>35.5</v>
      </c>
      <c r="F17" s="23">
        <f t="shared" si="1"/>
        <v>142</v>
      </c>
      <c r="G17" s="23">
        <f t="shared" si="4"/>
        <v>49.7</v>
      </c>
      <c r="H17" s="23">
        <f t="shared" si="2"/>
        <v>21.3</v>
      </c>
    </row>
    <row r="18" spans="2:8" x14ac:dyDescent="0.25">
      <c r="B18" s="30">
        <f t="shared" si="3"/>
        <v>45966</v>
      </c>
      <c r="C18" s="23">
        <v>710</v>
      </c>
      <c r="D18" s="23">
        <f t="shared" si="5"/>
        <v>461.5</v>
      </c>
      <c r="E18" s="23">
        <f t="shared" si="0"/>
        <v>35.5</v>
      </c>
      <c r="F18" s="23">
        <f t="shared" si="1"/>
        <v>142</v>
      </c>
      <c r="G18" s="23">
        <f t="shared" si="4"/>
        <v>49.7</v>
      </c>
      <c r="H18" s="23">
        <f t="shared" si="2"/>
        <v>21.3</v>
      </c>
    </row>
    <row r="19" spans="2:8" x14ac:dyDescent="0.25">
      <c r="B19" s="30">
        <f t="shared" si="3"/>
        <v>45980</v>
      </c>
      <c r="C19" s="23">
        <v>710</v>
      </c>
      <c r="D19" s="23">
        <f t="shared" si="5"/>
        <v>461.5</v>
      </c>
      <c r="E19" s="23">
        <f t="shared" si="0"/>
        <v>35.5</v>
      </c>
      <c r="F19" s="23">
        <f t="shared" si="1"/>
        <v>142</v>
      </c>
      <c r="G19" s="23">
        <f t="shared" si="4"/>
        <v>49.7</v>
      </c>
      <c r="H19" s="23">
        <f t="shared" si="2"/>
        <v>21.3</v>
      </c>
    </row>
    <row r="20" spans="2:8" x14ac:dyDescent="0.25">
      <c r="B20" s="30">
        <f t="shared" si="3"/>
        <v>45994</v>
      </c>
      <c r="C20" s="23">
        <v>710</v>
      </c>
      <c r="D20" s="23">
        <f t="shared" si="5"/>
        <v>461.5</v>
      </c>
      <c r="E20" s="23">
        <f t="shared" si="0"/>
        <v>35.5</v>
      </c>
      <c r="F20" s="23">
        <f t="shared" si="1"/>
        <v>142</v>
      </c>
      <c r="G20" s="23">
        <f t="shared" si="4"/>
        <v>49.7</v>
      </c>
      <c r="H20" s="23">
        <f t="shared" si="2"/>
        <v>21.3</v>
      </c>
    </row>
    <row r="21" spans="2:8" x14ac:dyDescent="0.25">
      <c r="B21" s="30">
        <f t="shared" si="3"/>
        <v>46008</v>
      </c>
      <c r="C21" s="23">
        <v>710</v>
      </c>
      <c r="D21" s="23">
        <f t="shared" si="5"/>
        <v>461.5</v>
      </c>
      <c r="E21" s="23">
        <f t="shared" si="0"/>
        <v>35.5</v>
      </c>
      <c r="F21" s="23">
        <f t="shared" si="1"/>
        <v>142</v>
      </c>
      <c r="G21" s="23">
        <f t="shared" si="4"/>
        <v>49.7</v>
      </c>
      <c r="H21" s="23">
        <f t="shared" si="2"/>
        <v>21.3</v>
      </c>
    </row>
    <row r="22" spans="2:8" x14ac:dyDescent="0.25">
      <c r="B22" s="30">
        <f t="shared" si="3"/>
        <v>46022</v>
      </c>
      <c r="C22" s="23">
        <v>710</v>
      </c>
      <c r="D22" s="23">
        <f t="shared" si="5"/>
        <v>461.5</v>
      </c>
      <c r="E22" s="23">
        <f t="shared" si="0"/>
        <v>35.5</v>
      </c>
      <c r="F22" s="23">
        <f t="shared" si="1"/>
        <v>142</v>
      </c>
      <c r="G22" s="23">
        <f t="shared" si="4"/>
        <v>49.7</v>
      </c>
      <c r="H22" s="23">
        <f t="shared" si="2"/>
        <v>21.3</v>
      </c>
    </row>
    <row r="23" spans="2:8" ht="15.75" thickBot="1" x14ac:dyDescent="0.3">
      <c r="B23" s="38" t="s">
        <v>96</v>
      </c>
      <c r="C23" s="39">
        <f>SUBTOTAL(9,C7:C22)</f>
        <v>11360</v>
      </c>
      <c r="D23" s="39">
        <f t="shared" ref="D23:H23" si="6">SUBTOTAL(9,D7:D22)</f>
        <v>7384</v>
      </c>
      <c r="E23" s="39">
        <f t="shared" si="6"/>
        <v>568</v>
      </c>
      <c r="F23" s="39">
        <f t="shared" si="1"/>
        <v>2272</v>
      </c>
      <c r="G23" s="39">
        <f>SUBTOTAL(9,G7:G22)</f>
        <v>795.20000000000016</v>
      </c>
      <c r="H23" s="39">
        <f t="shared" si="6"/>
        <v>340.80000000000007</v>
      </c>
    </row>
    <row r="24" spans="2:8" x14ac:dyDescent="0.25">
      <c r="B24" s="30">
        <f>B22+14</f>
        <v>46036</v>
      </c>
      <c r="C24" s="23">
        <v>710</v>
      </c>
      <c r="D24" s="23">
        <f t="shared" si="5"/>
        <v>461.5</v>
      </c>
      <c r="E24" s="23">
        <f t="shared" ref="E24:E49" si="7">C24*0.05</f>
        <v>35.5</v>
      </c>
      <c r="F24" s="23">
        <f t="shared" si="1"/>
        <v>142</v>
      </c>
      <c r="G24" s="23">
        <f t="shared" ref="G24:G49" si="8">C24*0.07</f>
        <v>49.7</v>
      </c>
      <c r="H24" s="23">
        <f t="shared" ref="H24:H49" si="9">C24*0.03</f>
        <v>21.3</v>
      </c>
    </row>
    <row r="25" spans="2:8" x14ac:dyDescent="0.25">
      <c r="B25" s="30">
        <f t="shared" si="3"/>
        <v>46050</v>
      </c>
      <c r="C25" s="23">
        <v>710</v>
      </c>
      <c r="D25" s="23">
        <f t="shared" si="5"/>
        <v>461.5</v>
      </c>
      <c r="E25" s="23">
        <f t="shared" si="7"/>
        <v>35.5</v>
      </c>
      <c r="F25" s="23">
        <f t="shared" si="1"/>
        <v>142</v>
      </c>
      <c r="G25" s="23">
        <f t="shared" si="8"/>
        <v>49.7</v>
      </c>
      <c r="H25" s="23">
        <f t="shared" si="9"/>
        <v>21.3</v>
      </c>
    </row>
    <row r="26" spans="2:8" x14ac:dyDescent="0.25">
      <c r="B26" s="30">
        <f t="shared" si="3"/>
        <v>46064</v>
      </c>
      <c r="C26" s="23">
        <v>710</v>
      </c>
      <c r="D26" s="23">
        <f t="shared" si="5"/>
        <v>461.5</v>
      </c>
      <c r="E26" s="23">
        <f t="shared" si="7"/>
        <v>35.5</v>
      </c>
      <c r="F26" s="23">
        <f t="shared" si="1"/>
        <v>142</v>
      </c>
      <c r="G26" s="23">
        <f t="shared" si="8"/>
        <v>49.7</v>
      </c>
      <c r="H26" s="23">
        <f t="shared" si="9"/>
        <v>21.3</v>
      </c>
    </row>
    <row r="27" spans="2:8" x14ac:dyDescent="0.25">
      <c r="B27" s="30">
        <f t="shared" si="3"/>
        <v>46078</v>
      </c>
      <c r="C27" s="23">
        <v>710</v>
      </c>
      <c r="D27" s="23">
        <f t="shared" si="5"/>
        <v>461.5</v>
      </c>
      <c r="E27" s="23">
        <f t="shared" si="7"/>
        <v>35.5</v>
      </c>
      <c r="F27" s="23">
        <f t="shared" si="1"/>
        <v>142</v>
      </c>
      <c r="G27" s="23">
        <f t="shared" si="8"/>
        <v>49.7</v>
      </c>
      <c r="H27" s="23">
        <f t="shared" si="9"/>
        <v>21.3</v>
      </c>
    </row>
    <row r="28" spans="2:8" x14ac:dyDescent="0.25">
      <c r="B28" s="30">
        <f t="shared" si="3"/>
        <v>46092</v>
      </c>
      <c r="C28" s="23">
        <v>710</v>
      </c>
      <c r="D28" s="23">
        <f t="shared" si="5"/>
        <v>461.5</v>
      </c>
      <c r="E28" s="23">
        <f t="shared" si="7"/>
        <v>35.5</v>
      </c>
      <c r="F28" s="23">
        <f t="shared" si="1"/>
        <v>142</v>
      </c>
      <c r="G28" s="23">
        <f t="shared" si="8"/>
        <v>49.7</v>
      </c>
      <c r="H28" s="23">
        <f t="shared" si="9"/>
        <v>21.3</v>
      </c>
    </row>
    <row r="29" spans="2:8" x14ac:dyDescent="0.25">
      <c r="B29" s="30">
        <f t="shared" si="3"/>
        <v>46106</v>
      </c>
      <c r="C29" s="23">
        <v>710</v>
      </c>
      <c r="D29" s="23">
        <f t="shared" si="5"/>
        <v>461.5</v>
      </c>
      <c r="E29" s="23">
        <f t="shared" si="7"/>
        <v>35.5</v>
      </c>
      <c r="F29" s="23">
        <f t="shared" si="1"/>
        <v>142</v>
      </c>
      <c r="G29" s="23">
        <f t="shared" si="8"/>
        <v>49.7</v>
      </c>
      <c r="H29" s="23">
        <f t="shared" si="9"/>
        <v>21.3</v>
      </c>
    </row>
    <row r="30" spans="2:8" x14ac:dyDescent="0.25">
      <c r="B30" s="30">
        <f t="shared" si="3"/>
        <v>46120</v>
      </c>
      <c r="C30" s="23">
        <v>710</v>
      </c>
      <c r="D30" s="23">
        <f t="shared" si="5"/>
        <v>461.5</v>
      </c>
      <c r="E30" s="23">
        <f t="shared" si="7"/>
        <v>35.5</v>
      </c>
      <c r="F30" s="23">
        <f t="shared" si="1"/>
        <v>142</v>
      </c>
      <c r="G30" s="23">
        <f t="shared" si="8"/>
        <v>49.7</v>
      </c>
      <c r="H30" s="23">
        <f t="shared" si="9"/>
        <v>21.3</v>
      </c>
    </row>
    <row r="31" spans="2:8" x14ac:dyDescent="0.25">
      <c r="B31" s="30">
        <f t="shared" si="3"/>
        <v>46134</v>
      </c>
      <c r="C31" s="23">
        <v>710</v>
      </c>
      <c r="D31" s="23">
        <f t="shared" si="5"/>
        <v>461.5</v>
      </c>
      <c r="E31" s="23">
        <f t="shared" si="7"/>
        <v>35.5</v>
      </c>
      <c r="F31" s="23">
        <f t="shared" si="1"/>
        <v>142</v>
      </c>
      <c r="G31" s="23">
        <f t="shared" si="8"/>
        <v>49.7</v>
      </c>
      <c r="H31" s="23">
        <f t="shared" si="9"/>
        <v>21.3</v>
      </c>
    </row>
    <row r="32" spans="2:8" x14ac:dyDescent="0.25">
      <c r="B32" s="30">
        <f t="shared" si="3"/>
        <v>46148</v>
      </c>
      <c r="C32" s="23">
        <v>710</v>
      </c>
      <c r="D32" s="23">
        <f t="shared" si="5"/>
        <v>461.5</v>
      </c>
      <c r="E32" s="23">
        <f t="shared" si="7"/>
        <v>35.5</v>
      </c>
      <c r="F32" s="23">
        <f t="shared" si="1"/>
        <v>142</v>
      </c>
      <c r="G32" s="23">
        <f t="shared" si="8"/>
        <v>49.7</v>
      </c>
      <c r="H32" s="23">
        <f t="shared" si="9"/>
        <v>21.3</v>
      </c>
    </row>
    <row r="33" spans="2:8" x14ac:dyDescent="0.25">
      <c r="B33" s="30">
        <f t="shared" si="3"/>
        <v>46162</v>
      </c>
      <c r="C33" s="23">
        <v>710</v>
      </c>
      <c r="D33" s="23">
        <f t="shared" si="5"/>
        <v>461.5</v>
      </c>
      <c r="E33" s="23">
        <f t="shared" si="7"/>
        <v>35.5</v>
      </c>
      <c r="F33" s="23">
        <f t="shared" si="1"/>
        <v>142</v>
      </c>
      <c r="G33" s="23">
        <f t="shared" si="8"/>
        <v>49.7</v>
      </c>
      <c r="H33" s="23">
        <f t="shared" si="9"/>
        <v>21.3</v>
      </c>
    </row>
    <row r="34" spans="2:8" x14ac:dyDescent="0.25">
      <c r="B34" s="30">
        <f t="shared" si="3"/>
        <v>46176</v>
      </c>
      <c r="C34" s="23">
        <v>710</v>
      </c>
      <c r="D34" s="23">
        <f t="shared" si="5"/>
        <v>461.5</v>
      </c>
      <c r="E34" s="23">
        <f t="shared" si="7"/>
        <v>35.5</v>
      </c>
      <c r="F34" s="23">
        <f t="shared" si="1"/>
        <v>142</v>
      </c>
      <c r="G34" s="23">
        <f t="shared" si="8"/>
        <v>49.7</v>
      </c>
      <c r="H34" s="23">
        <f t="shared" si="9"/>
        <v>21.3</v>
      </c>
    </row>
    <row r="35" spans="2:8" x14ac:dyDescent="0.25">
      <c r="B35" s="30">
        <f t="shared" si="3"/>
        <v>46190</v>
      </c>
      <c r="C35" s="23">
        <v>710</v>
      </c>
      <c r="D35" s="23">
        <f t="shared" si="5"/>
        <v>461.5</v>
      </c>
      <c r="E35" s="23">
        <f t="shared" si="7"/>
        <v>35.5</v>
      </c>
      <c r="F35" s="23">
        <f t="shared" si="1"/>
        <v>142</v>
      </c>
      <c r="G35" s="23">
        <f t="shared" si="8"/>
        <v>49.7</v>
      </c>
      <c r="H35" s="23">
        <f t="shared" si="9"/>
        <v>21.3</v>
      </c>
    </row>
    <row r="36" spans="2:8" x14ac:dyDescent="0.25">
      <c r="B36" s="30">
        <f t="shared" si="3"/>
        <v>46204</v>
      </c>
      <c r="C36" s="23">
        <v>710</v>
      </c>
      <c r="D36" s="23">
        <f t="shared" si="5"/>
        <v>461.5</v>
      </c>
      <c r="E36" s="23">
        <f t="shared" si="7"/>
        <v>35.5</v>
      </c>
      <c r="F36" s="23">
        <f t="shared" si="1"/>
        <v>142</v>
      </c>
      <c r="G36" s="23">
        <f t="shared" si="8"/>
        <v>49.7</v>
      </c>
      <c r="H36" s="23">
        <f t="shared" si="9"/>
        <v>21.3</v>
      </c>
    </row>
    <row r="37" spans="2:8" x14ac:dyDescent="0.25">
      <c r="B37" s="30">
        <f t="shared" si="3"/>
        <v>46218</v>
      </c>
      <c r="C37" s="23">
        <v>710</v>
      </c>
      <c r="D37" s="23">
        <f t="shared" si="5"/>
        <v>461.5</v>
      </c>
      <c r="E37" s="23">
        <f t="shared" si="7"/>
        <v>35.5</v>
      </c>
      <c r="F37" s="23">
        <f t="shared" si="1"/>
        <v>142</v>
      </c>
      <c r="G37" s="23">
        <f t="shared" si="8"/>
        <v>49.7</v>
      </c>
      <c r="H37" s="23">
        <f t="shared" si="9"/>
        <v>21.3</v>
      </c>
    </row>
    <row r="38" spans="2:8" x14ac:dyDescent="0.25">
      <c r="B38" s="30">
        <f t="shared" si="3"/>
        <v>46232</v>
      </c>
      <c r="C38" s="23">
        <v>710</v>
      </c>
      <c r="D38" s="23">
        <f t="shared" si="5"/>
        <v>461.5</v>
      </c>
      <c r="E38" s="23">
        <f t="shared" si="7"/>
        <v>35.5</v>
      </c>
      <c r="F38" s="23">
        <f t="shared" si="1"/>
        <v>142</v>
      </c>
      <c r="G38" s="23">
        <f t="shared" si="8"/>
        <v>49.7</v>
      </c>
      <c r="H38" s="23">
        <f t="shared" si="9"/>
        <v>21.3</v>
      </c>
    </row>
    <row r="39" spans="2:8" x14ac:dyDescent="0.25">
      <c r="B39" s="30">
        <f t="shared" si="3"/>
        <v>46246</v>
      </c>
      <c r="C39" s="23">
        <v>710</v>
      </c>
      <c r="D39" s="23">
        <f t="shared" si="5"/>
        <v>461.5</v>
      </c>
      <c r="E39" s="23">
        <f t="shared" si="7"/>
        <v>35.5</v>
      </c>
      <c r="F39" s="23">
        <f t="shared" si="1"/>
        <v>142</v>
      </c>
      <c r="G39" s="23">
        <f t="shared" si="8"/>
        <v>49.7</v>
      </c>
      <c r="H39" s="23">
        <f t="shared" si="9"/>
        <v>21.3</v>
      </c>
    </row>
    <row r="40" spans="2:8" x14ac:dyDescent="0.25">
      <c r="B40" s="30">
        <f t="shared" si="3"/>
        <v>46260</v>
      </c>
      <c r="C40" s="23">
        <v>710</v>
      </c>
      <c r="D40" s="23">
        <f t="shared" si="5"/>
        <v>461.5</v>
      </c>
      <c r="E40" s="23">
        <f t="shared" si="7"/>
        <v>35.5</v>
      </c>
      <c r="F40" s="23">
        <f t="shared" si="1"/>
        <v>142</v>
      </c>
      <c r="G40" s="23">
        <f t="shared" si="8"/>
        <v>49.7</v>
      </c>
      <c r="H40" s="23">
        <f t="shared" si="9"/>
        <v>21.3</v>
      </c>
    </row>
    <row r="41" spans="2:8" x14ac:dyDescent="0.25">
      <c r="B41" s="30">
        <f t="shared" si="3"/>
        <v>46274</v>
      </c>
      <c r="C41" s="23">
        <v>710</v>
      </c>
      <c r="D41" s="23">
        <f t="shared" si="5"/>
        <v>461.5</v>
      </c>
      <c r="E41" s="23">
        <f t="shared" si="7"/>
        <v>35.5</v>
      </c>
      <c r="F41" s="23">
        <f t="shared" si="1"/>
        <v>142</v>
      </c>
      <c r="G41" s="23">
        <f t="shared" si="8"/>
        <v>49.7</v>
      </c>
      <c r="H41" s="23">
        <f t="shared" si="9"/>
        <v>21.3</v>
      </c>
    </row>
    <row r="42" spans="2:8" x14ac:dyDescent="0.25">
      <c r="B42" s="30">
        <f t="shared" si="3"/>
        <v>46288</v>
      </c>
      <c r="C42" s="23">
        <v>710</v>
      </c>
      <c r="D42" s="23">
        <f t="shared" si="5"/>
        <v>461.5</v>
      </c>
      <c r="E42" s="23">
        <f t="shared" si="7"/>
        <v>35.5</v>
      </c>
      <c r="F42" s="23">
        <f t="shared" si="1"/>
        <v>142</v>
      </c>
      <c r="G42" s="23">
        <f t="shared" si="8"/>
        <v>49.7</v>
      </c>
      <c r="H42" s="23">
        <f t="shared" si="9"/>
        <v>21.3</v>
      </c>
    </row>
    <row r="43" spans="2:8" x14ac:dyDescent="0.25">
      <c r="B43" s="30">
        <f t="shared" si="3"/>
        <v>46302</v>
      </c>
      <c r="C43" s="23">
        <v>710</v>
      </c>
      <c r="D43" s="23">
        <f t="shared" si="5"/>
        <v>461.5</v>
      </c>
      <c r="E43" s="23">
        <f t="shared" si="7"/>
        <v>35.5</v>
      </c>
      <c r="F43" s="23">
        <f t="shared" si="1"/>
        <v>142</v>
      </c>
      <c r="G43" s="23">
        <f t="shared" si="8"/>
        <v>49.7</v>
      </c>
      <c r="H43" s="23">
        <f t="shared" si="9"/>
        <v>21.3</v>
      </c>
    </row>
    <row r="44" spans="2:8" x14ac:dyDescent="0.25">
      <c r="B44" s="30">
        <f t="shared" si="3"/>
        <v>46316</v>
      </c>
      <c r="C44" s="23">
        <v>710</v>
      </c>
      <c r="D44" s="23">
        <f t="shared" si="5"/>
        <v>461.5</v>
      </c>
      <c r="E44" s="23">
        <f t="shared" si="7"/>
        <v>35.5</v>
      </c>
      <c r="F44" s="23">
        <f t="shared" si="1"/>
        <v>142</v>
      </c>
      <c r="G44" s="23">
        <f t="shared" si="8"/>
        <v>49.7</v>
      </c>
      <c r="H44" s="23">
        <f t="shared" si="9"/>
        <v>21.3</v>
      </c>
    </row>
    <row r="45" spans="2:8" x14ac:dyDescent="0.25">
      <c r="B45" s="30">
        <f t="shared" si="3"/>
        <v>46330</v>
      </c>
      <c r="C45" s="23">
        <v>710</v>
      </c>
      <c r="D45" s="23">
        <f t="shared" si="5"/>
        <v>461.5</v>
      </c>
      <c r="E45" s="23">
        <f t="shared" si="7"/>
        <v>35.5</v>
      </c>
      <c r="F45" s="23">
        <f t="shared" si="1"/>
        <v>142</v>
      </c>
      <c r="G45" s="23">
        <f t="shared" si="8"/>
        <v>49.7</v>
      </c>
      <c r="H45" s="23">
        <f t="shared" si="9"/>
        <v>21.3</v>
      </c>
    </row>
    <row r="46" spans="2:8" x14ac:dyDescent="0.25">
      <c r="B46" s="30">
        <f t="shared" si="3"/>
        <v>46344</v>
      </c>
      <c r="C46" s="23">
        <v>710</v>
      </c>
      <c r="D46" s="23">
        <f t="shared" si="5"/>
        <v>461.5</v>
      </c>
      <c r="E46" s="23">
        <f t="shared" si="7"/>
        <v>35.5</v>
      </c>
      <c r="F46" s="23">
        <f t="shared" si="1"/>
        <v>142</v>
      </c>
      <c r="G46" s="23">
        <f t="shared" si="8"/>
        <v>49.7</v>
      </c>
      <c r="H46" s="23">
        <f t="shared" si="9"/>
        <v>21.3</v>
      </c>
    </row>
    <row r="47" spans="2:8" x14ac:dyDescent="0.25">
      <c r="B47" s="30">
        <f t="shared" si="3"/>
        <v>46358</v>
      </c>
      <c r="C47" s="23">
        <v>710</v>
      </c>
      <c r="D47" s="23">
        <f t="shared" si="5"/>
        <v>461.5</v>
      </c>
      <c r="E47" s="23">
        <f t="shared" si="7"/>
        <v>35.5</v>
      </c>
      <c r="F47" s="23">
        <f t="shared" si="1"/>
        <v>142</v>
      </c>
      <c r="G47" s="23">
        <f t="shared" si="8"/>
        <v>49.7</v>
      </c>
      <c r="H47" s="23">
        <f t="shared" si="9"/>
        <v>21.3</v>
      </c>
    </row>
    <row r="48" spans="2:8" x14ac:dyDescent="0.25">
      <c r="B48" s="30">
        <f t="shared" si="3"/>
        <v>46372</v>
      </c>
      <c r="C48" s="23">
        <v>710</v>
      </c>
      <c r="D48" s="23">
        <f t="shared" si="5"/>
        <v>461.5</v>
      </c>
      <c r="E48" s="23">
        <f t="shared" si="7"/>
        <v>35.5</v>
      </c>
      <c r="F48" s="23">
        <f t="shared" si="1"/>
        <v>142</v>
      </c>
      <c r="G48" s="23">
        <f t="shared" si="8"/>
        <v>49.7</v>
      </c>
      <c r="H48" s="23">
        <f t="shared" si="9"/>
        <v>21.3</v>
      </c>
    </row>
    <row r="49" spans="2:8" x14ac:dyDescent="0.25">
      <c r="B49" s="30">
        <f t="shared" si="3"/>
        <v>46386</v>
      </c>
      <c r="C49" s="23">
        <v>710</v>
      </c>
      <c r="D49" s="23">
        <f t="shared" si="5"/>
        <v>461.5</v>
      </c>
      <c r="E49" s="23">
        <f t="shared" si="7"/>
        <v>35.5</v>
      </c>
      <c r="F49" s="23">
        <f t="shared" si="1"/>
        <v>142</v>
      </c>
      <c r="G49" s="23">
        <f t="shared" si="8"/>
        <v>49.7</v>
      </c>
      <c r="H49" s="23">
        <f t="shared" si="9"/>
        <v>21.3</v>
      </c>
    </row>
    <row r="50" spans="2:8" ht="15.75" thickBot="1" x14ac:dyDescent="0.3">
      <c r="B50" s="38" t="s">
        <v>97</v>
      </c>
      <c r="C50" s="39">
        <f>SUBTOTAL(9,C24:C49)</f>
        <v>18460</v>
      </c>
      <c r="D50" s="39">
        <f>C50*0.65</f>
        <v>11999</v>
      </c>
      <c r="E50" s="39">
        <f>D50*0.65</f>
        <v>7799.35</v>
      </c>
      <c r="F50" s="39">
        <f t="shared" si="1"/>
        <v>3692</v>
      </c>
      <c r="G50" s="39">
        <f t="shared" ref="G50:H50" si="10">F50*0.65</f>
        <v>2399.8000000000002</v>
      </c>
      <c r="H50" s="39">
        <f t="shared" si="10"/>
        <v>1559.8700000000001</v>
      </c>
    </row>
  </sheetData>
  <mergeCells count="2">
    <mergeCell ref="B3:H3"/>
    <mergeCell ref="B4:H4"/>
  </mergeCells>
  <pageMargins left="0.75" right="0.75" top="1" bottom="1" header="0.5" footer="0.5"/>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I15"/>
  <sheetViews>
    <sheetView topLeftCell="E1" zoomScale="78" workbookViewId="0">
      <selection activeCell="B2" sqref="B2:I15"/>
    </sheetView>
  </sheetViews>
  <sheetFormatPr defaultRowHeight="15" x14ac:dyDescent="0.25"/>
  <cols>
    <col min="1" max="1" width="7.875"/>
    <col min="2" max="2" width="19.5" bestFit="1" customWidth="1"/>
    <col min="3" max="3" width="11.75" bestFit="1" customWidth="1"/>
    <col min="4" max="4" width="20.25" bestFit="1" customWidth="1"/>
    <col min="5" max="5" width="11.75" bestFit="1" customWidth="1"/>
    <col min="6" max="6" width="16.625" customWidth="1"/>
    <col min="7" max="7" width="25.375" bestFit="1" customWidth="1"/>
    <col min="8" max="8" width="19.875" customWidth="1"/>
    <col min="9" max="9" width="15.625" customWidth="1"/>
    <col min="10" max="10" width="17.625" customWidth="1"/>
    <col min="11" max="11" width="16" customWidth="1"/>
    <col min="12" max="12" width="16.5" customWidth="1"/>
    <col min="13" max="13" width="21.875" customWidth="1"/>
    <col min="14" max="14" width="17.5" customWidth="1"/>
    <col min="15" max="15" width="19.5" customWidth="1"/>
    <col min="16" max="16" width="17.875" customWidth="1"/>
    <col min="17" max="17" width="18.5" customWidth="1"/>
  </cols>
  <sheetData>
    <row r="2" spans="2:9" ht="33" x14ac:dyDescent="0.45">
      <c r="B2" s="63" t="str" cm="1">
        <f t="array" aca="1" ref="B2" ca="1">MID(CELL("filename",A1),FIND("]",CELL("filename",A1))+1,255)</f>
        <v>Obligation Adherence</v>
      </c>
    </row>
    <row r="3" spans="2:9" ht="22.5" customHeight="1" x14ac:dyDescent="0.3">
      <c r="B3" s="1" t="s">
        <v>88</v>
      </c>
    </row>
    <row r="4" spans="2:9" ht="22.5" customHeight="1" x14ac:dyDescent="0.3">
      <c r="B4" s="1" t="s">
        <v>84</v>
      </c>
    </row>
    <row r="6" spans="2:9" x14ac:dyDescent="0.25">
      <c r="B6" s="33" t="s">
        <v>109</v>
      </c>
      <c r="C6" s="34" t="s">
        <v>99</v>
      </c>
      <c r="D6" s="34" t="s">
        <v>100</v>
      </c>
      <c r="E6" s="34" t="s">
        <v>101</v>
      </c>
      <c r="F6" s="34" t="s">
        <v>102</v>
      </c>
      <c r="G6" s="34" t="s">
        <v>103</v>
      </c>
      <c r="H6" s="34" t="s">
        <v>85</v>
      </c>
      <c r="I6" s="35" t="s">
        <v>86</v>
      </c>
    </row>
    <row r="7" spans="2:9" x14ac:dyDescent="0.25">
      <c r="B7" s="5" t="s">
        <v>122</v>
      </c>
      <c r="C7" s="42" cm="1">
        <f t="array" aca="1" ref="C7" ca="1">INDIRECT("'" &amp; B7 &amp; "'!c7")</f>
        <v>12000</v>
      </c>
      <c r="D7" s="6" t="str">
        <f ca="1">TEXT(MAX(INDIRECT("'" &amp; B7 &amp; "'!B:B")),"mm-dd-yy")</f>
        <v>06-02-25</v>
      </c>
      <c r="E7" s="42">
        <f ca="1">SUM(INDIRECT("'" &amp; B7 &amp; "'!c7:c56"))</f>
        <v>11835</v>
      </c>
      <c r="F7" s="43">
        <f ca="1">IFERROR(1-(E7/C7),0)</f>
        <v>1.375000000000004E-2</v>
      </c>
      <c r="G7" s="6" t="s">
        <v>113</v>
      </c>
      <c r="H7" s="6" t="s">
        <v>6</v>
      </c>
      <c r="I7" s="7" t="s">
        <v>10</v>
      </c>
    </row>
    <row r="8" spans="2:9" x14ac:dyDescent="0.25">
      <c r="B8" s="5" t="s">
        <v>121</v>
      </c>
      <c r="C8" s="42" cm="1">
        <f t="array" aca="1" ref="C8" ca="1">INDIRECT("'" &amp; B8 &amp; "'!c7")</f>
        <v>300</v>
      </c>
      <c r="D8" s="6" t="str">
        <f t="shared" ref="D8:D15" ca="1" si="0">TEXT(MAX(INDIRECT("'" &amp; B8 &amp; "'!B:B")),"mm-dd-yy")</f>
        <v>06-02-25</v>
      </c>
      <c r="E8" s="42">
        <f t="shared" ref="E8:E15" ca="1" si="1">SUM(INDIRECT("'" &amp; B8 &amp; "'!c7:c56"))</f>
        <v>325</v>
      </c>
      <c r="F8" s="43">
        <f t="shared" ref="F8:F15" ca="1" si="2">IFERROR(1-(E8/C8),0)</f>
        <v>-8.3333333333333259E-2</v>
      </c>
      <c r="G8" s="43" t="s">
        <v>106</v>
      </c>
      <c r="H8" s="6"/>
      <c r="I8" s="7"/>
    </row>
    <row r="9" spans="2:9" x14ac:dyDescent="0.25">
      <c r="B9" s="5" t="s">
        <v>115</v>
      </c>
      <c r="C9" s="42" cm="1">
        <f t="array" aca="1" ref="C9" ca="1">INDIRECT("'" &amp; B9 &amp; "'!c7")</f>
        <v>-450.11</v>
      </c>
      <c r="D9" s="6" t="str">
        <f t="shared" ca="1" si="0"/>
        <v>06-04-25</v>
      </c>
      <c r="E9" s="42">
        <f t="shared" ca="1" si="1"/>
        <v>-406.15000000000003</v>
      </c>
      <c r="F9" s="43">
        <f t="shared" ca="1" si="2"/>
        <v>9.7665015218502127E-2</v>
      </c>
      <c r="G9" s="43" t="s">
        <v>104</v>
      </c>
      <c r="H9" s="6" t="s">
        <v>108</v>
      </c>
      <c r="I9" s="7"/>
    </row>
    <row r="10" spans="2:9" x14ac:dyDescent="0.25">
      <c r="B10" s="5" t="s">
        <v>116</v>
      </c>
      <c r="C10" s="42" cm="1">
        <f t="array" aca="1" ref="C10" ca="1">INDIRECT("'" &amp; B10 &amp; "'!c7")</f>
        <v>579.39</v>
      </c>
      <c r="D10" s="6" t="str">
        <f t="shared" ca="1" si="0"/>
        <v>06-02-25</v>
      </c>
      <c r="E10" s="42">
        <f t="shared" ca="1" si="1"/>
        <v>579.39</v>
      </c>
      <c r="F10" s="43">
        <f t="shared" ca="1" si="2"/>
        <v>0</v>
      </c>
      <c r="G10" s="43" t="s">
        <v>105</v>
      </c>
      <c r="H10" s="6"/>
      <c r="I10" s="7"/>
    </row>
    <row r="11" spans="2:9" x14ac:dyDescent="0.25">
      <c r="B11" s="5" t="s">
        <v>117</v>
      </c>
      <c r="C11" s="42" cm="1">
        <f t="array" aca="1" ref="C11" ca="1">INDIRECT("'" &amp; B11 &amp; "'!c7")</f>
        <v>500.21</v>
      </c>
      <c r="D11" s="6" t="str">
        <f t="shared" ca="1" si="0"/>
        <v>06-02-25</v>
      </c>
      <c r="E11" s="42">
        <f t="shared" ca="1" si="1"/>
        <v>500.21</v>
      </c>
      <c r="F11" s="43">
        <f t="shared" ca="1" si="2"/>
        <v>0</v>
      </c>
      <c r="G11" s="6" t="s">
        <v>110</v>
      </c>
      <c r="H11" s="6" t="s">
        <v>2</v>
      </c>
      <c r="I11" s="7" t="s">
        <v>3</v>
      </c>
    </row>
    <row r="12" spans="2:9" x14ac:dyDescent="0.25">
      <c r="B12" s="5" t="s">
        <v>118</v>
      </c>
      <c r="C12" s="42" cm="1">
        <f t="array" aca="1" ref="C12" ca="1">INDIRECT("'" &amp; B12 &amp; "'!c7")</f>
        <v>411.72</v>
      </c>
      <c r="D12" s="6" t="str">
        <f t="shared" ca="1" si="0"/>
        <v>06-02-25</v>
      </c>
      <c r="E12" s="42">
        <f t="shared" ca="1" si="1"/>
        <v>411.72</v>
      </c>
      <c r="F12" s="43">
        <f t="shared" ca="1" si="2"/>
        <v>0</v>
      </c>
      <c r="G12" s="6" t="s">
        <v>111</v>
      </c>
      <c r="H12" s="6" t="s">
        <v>4</v>
      </c>
      <c r="I12" s="7" t="s">
        <v>5</v>
      </c>
    </row>
    <row r="13" spans="2:9" x14ac:dyDescent="0.25">
      <c r="B13" s="5" t="s">
        <v>119</v>
      </c>
      <c r="C13" s="42" cm="1">
        <f t="array" aca="1" ref="C13" ca="1">INDIRECT("'" &amp; B13 &amp; "'!c7")</f>
        <v>1000</v>
      </c>
      <c r="D13" s="6" t="str">
        <f t="shared" ca="1" si="0"/>
        <v>06-02-25</v>
      </c>
      <c r="E13" s="42">
        <f t="shared" ca="1" si="1"/>
        <v>1000</v>
      </c>
      <c r="F13" s="43">
        <f t="shared" ca="1" si="2"/>
        <v>0</v>
      </c>
      <c r="G13" s="6" t="s">
        <v>9</v>
      </c>
      <c r="H13" s="6" t="s">
        <v>6</v>
      </c>
      <c r="I13" s="7" t="s">
        <v>7</v>
      </c>
    </row>
    <row r="14" spans="2:9" x14ac:dyDescent="0.25">
      <c r="B14" s="5" t="s">
        <v>123</v>
      </c>
      <c r="C14" s="42" cm="1">
        <f t="array" aca="1" ref="C14" ca="1">INDIRECT("'" &amp; B14 &amp; "'!c7")</f>
        <v>3010.67</v>
      </c>
      <c r="D14" s="6" t="str">
        <f t="shared" ca="1" si="0"/>
        <v>06-02-25</v>
      </c>
      <c r="E14" s="42">
        <f t="shared" ca="1" si="1"/>
        <v>3010.67</v>
      </c>
      <c r="F14" s="43">
        <f t="shared" ca="1" si="2"/>
        <v>0</v>
      </c>
      <c r="G14" s="43" t="s">
        <v>114</v>
      </c>
      <c r="H14" s="6"/>
      <c r="I14" s="7"/>
    </row>
    <row r="15" spans="2:9" x14ac:dyDescent="0.25">
      <c r="B15" s="2" t="s">
        <v>120</v>
      </c>
      <c r="C15" s="42" cm="1">
        <f t="array" aca="1" ref="C15" ca="1">INDIRECT("'" &amp; B15 &amp; "'!c7")</f>
        <v>243.72</v>
      </c>
      <c r="D15" s="6" t="str">
        <f t="shared" ca="1" si="0"/>
        <v>06-02-25</v>
      </c>
      <c r="E15" s="42">
        <f t="shared" ca="1" si="1"/>
        <v>243.72</v>
      </c>
      <c r="F15" s="43">
        <f t="shared" ca="1" si="2"/>
        <v>0</v>
      </c>
      <c r="G15" s="3" t="s">
        <v>112</v>
      </c>
      <c r="H15" s="3" t="s">
        <v>6</v>
      </c>
      <c r="I15" s="4" t="s">
        <v>8</v>
      </c>
    </row>
  </sheetData>
  <phoneticPr fontId="12" type="noConversion"/>
  <pageMargins left="0.75" right="0.75" top="1" bottom="1" header="0.5" footer="0.5"/>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A0858-5122-41E3-A787-EBCEE81A3F2D}">
  <sheetPr codeName="Sheet7"/>
  <dimension ref="B2:F10"/>
  <sheetViews>
    <sheetView workbookViewId="0">
      <selection activeCell="B3" sqref="B3:N3"/>
    </sheetView>
  </sheetViews>
  <sheetFormatPr defaultRowHeight="15" x14ac:dyDescent="0.25"/>
  <cols>
    <col min="1" max="1" width="7.875"/>
    <col min="2" max="2" width="19.5" bestFit="1" customWidth="1"/>
    <col min="3" max="3" width="11.75" bestFit="1" customWidth="1"/>
    <col min="4" max="4" width="20.25" bestFit="1" customWidth="1"/>
    <col min="5" max="5" width="20.25" customWidth="1"/>
    <col min="6" max="6" width="5.875" customWidth="1"/>
  </cols>
  <sheetData>
    <row r="2" spans="2:6" ht="33" x14ac:dyDescent="0.45">
      <c r="B2" s="63" t="str" cm="1">
        <f t="array" aca="1" ref="B2" ca="1">MID(CELL("filename",A1),FIND("]",CELL("filename",A1))+1,255)</f>
        <v>AP 102</v>
      </c>
      <c r="C2" s="63"/>
      <c r="D2" s="63"/>
      <c r="E2" s="63"/>
      <c r="F2" s="63"/>
    </row>
    <row r="3" spans="2:6" ht="22.5" x14ac:dyDescent="0.3">
      <c r="B3" s="74" t="s">
        <v>91</v>
      </c>
      <c r="C3" s="74"/>
      <c r="D3" s="74"/>
      <c r="E3" s="74"/>
      <c r="F3" s="74"/>
    </row>
    <row r="4" spans="2:6" ht="22.5" x14ac:dyDescent="0.3">
      <c r="B4" s="74" t="s">
        <v>130</v>
      </c>
      <c r="C4" s="74"/>
      <c r="D4" s="74"/>
      <c r="E4" s="74"/>
      <c r="F4" s="74"/>
    </row>
    <row r="6" spans="2:6" x14ac:dyDescent="0.25">
      <c r="B6" s="44" t="s">
        <v>132</v>
      </c>
      <c r="C6" s="45" t="s">
        <v>134</v>
      </c>
      <c r="D6" s="45" t="s">
        <v>133</v>
      </c>
      <c r="E6" s="45" t="s">
        <v>135</v>
      </c>
      <c r="F6" s="45" t="s">
        <v>137</v>
      </c>
    </row>
    <row r="7" spans="2:6" x14ac:dyDescent="0.25">
      <c r="B7" s="47">
        <v>45809</v>
      </c>
      <c r="C7" s="48">
        <v>12000</v>
      </c>
      <c r="D7" s="49"/>
      <c r="E7" s="49" t="s">
        <v>99</v>
      </c>
      <c r="F7" s="50" t="b">
        <v>0</v>
      </c>
    </row>
    <row r="8" spans="2:6" x14ac:dyDescent="0.25">
      <c r="B8" s="47">
        <v>45810</v>
      </c>
      <c r="C8" s="48">
        <v>-165</v>
      </c>
      <c r="D8" s="49" t="s">
        <v>139</v>
      </c>
      <c r="E8" s="49" t="s">
        <v>136</v>
      </c>
      <c r="F8" s="49"/>
    </row>
    <row r="9" spans="2:6" x14ac:dyDescent="0.25">
      <c r="B9" s="51"/>
      <c r="C9" s="52"/>
      <c r="F9" s="53"/>
    </row>
    <row r="10" spans="2:6" x14ac:dyDescent="0.25">
      <c r="B10" s="54"/>
      <c r="C10" s="55"/>
      <c r="D10" s="3"/>
      <c r="E10" s="3"/>
      <c r="F10" s="4"/>
    </row>
  </sheetData>
  <mergeCells count="2">
    <mergeCell ref="B3:F3"/>
    <mergeCell ref="B4:F4"/>
  </mergeCells>
  <pageMargins left="0.75" right="0.75" top="1" bottom="1" header="0.5" footer="0.5"/>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0"/>
  <sheetViews>
    <sheetView workbookViewId="0">
      <selection activeCell="B3" sqref="B3:N3"/>
    </sheetView>
  </sheetViews>
  <sheetFormatPr defaultRowHeight="15" x14ac:dyDescent="0.25"/>
  <cols>
    <col min="1" max="1" width="7.875"/>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AP 103</v>
      </c>
    </row>
    <row r="3" spans="2:6" ht="22.5" x14ac:dyDescent="0.3">
      <c r="B3" s="1" t="s">
        <v>92</v>
      </c>
    </row>
    <row r="4" spans="2:6" ht="22.5" x14ac:dyDescent="0.3">
      <c r="B4" s="1" t="s">
        <v>130</v>
      </c>
    </row>
    <row r="6" spans="2:6" x14ac:dyDescent="0.25">
      <c r="B6" s="36" t="s">
        <v>132</v>
      </c>
      <c r="C6" s="36" t="s">
        <v>134</v>
      </c>
      <c r="D6" s="36" t="s">
        <v>133</v>
      </c>
      <c r="E6" s="36" t="s">
        <v>135</v>
      </c>
      <c r="F6" s="46" t="s">
        <v>137</v>
      </c>
    </row>
    <row r="7" spans="2:6" x14ac:dyDescent="0.25">
      <c r="B7" s="40">
        <v>45809</v>
      </c>
      <c r="C7" s="23">
        <v>300</v>
      </c>
      <c r="E7" t="s">
        <v>99</v>
      </c>
      <c r="F7" s="41" t="b">
        <v>0</v>
      </c>
    </row>
    <row r="8" spans="2:6" x14ac:dyDescent="0.25">
      <c r="B8" s="40">
        <v>45810</v>
      </c>
      <c r="C8" s="23">
        <v>25</v>
      </c>
      <c r="E8" t="s">
        <v>138</v>
      </c>
      <c r="F8" s="41" t="b">
        <v>0</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FA7E-EE29-430A-A3E3-E63537439F67}">
  <sheetPr codeName="Sheet23"/>
  <dimension ref="B2:F20"/>
  <sheetViews>
    <sheetView topLeftCell="A3" workbookViewId="0">
      <selection activeCell="B6" sqref="B6:C18"/>
    </sheetView>
  </sheetViews>
  <sheetFormatPr defaultColWidth="9" defaultRowHeight="15" x14ac:dyDescent="0.25"/>
  <cols>
    <col min="1" max="1" width="9" style="56"/>
    <col min="2" max="2" width="19.5" style="56" bestFit="1" customWidth="1"/>
    <col min="3" max="3" width="10.125" style="56" customWidth="1"/>
    <col min="4" max="4" width="9" style="56"/>
    <col min="5" max="5" width="9.5" style="56" customWidth="1"/>
    <col min="6" max="6" width="9" style="56" customWidth="1"/>
    <col min="7" max="16384" width="9" style="56"/>
  </cols>
  <sheetData>
    <row r="2" spans="2:6" ht="33" x14ac:dyDescent="0.45">
      <c r="B2" s="64" t="str" cm="1">
        <f t="array" aca="1" ref="B2" ca="1">MID(CELL("filename",A1),FIND("]",CELL("filename",A1))+1,255)</f>
        <v>Credit Card Usage</v>
      </c>
    </row>
    <row r="3" spans="2:6" ht="22.5" x14ac:dyDescent="0.3">
      <c r="B3" s="58" t="s">
        <v>168</v>
      </c>
    </row>
    <row r="4" spans="2:6" ht="22.5" x14ac:dyDescent="0.3">
      <c r="B4" s="58" t="s">
        <v>21</v>
      </c>
    </row>
    <row r="6" spans="2:6" x14ac:dyDescent="0.25">
      <c r="B6" s="57" t="s">
        <v>167</v>
      </c>
      <c r="C6" s="56" t="s">
        <v>166</v>
      </c>
      <c r="D6" s="56" t="s">
        <v>165</v>
      </c>
      <c r="E6" s="56" t="s">
        <v>14</v>
      </c>
      <c r="F6" s="56" t="s">
        <v>164</v>
      </c>
    </row>
    <row r="7" spans="2:6" x14ac:dyDescent="0.25">
      <c r="B7" s="62" t="s">
        <v>180</v>
      </c>
      <c r="C7" s="56">
        <v>20</v>
      </c>
      <c r="E7" s="56">
        <f>CreditExpenses[[#This Row],[Actual]]-CreditExpenses[[#This Row],[Budgeted]]</f>
        <v>-20</v>
      </c>
      <c r="F7" s="56" t="s">
        <v>163</v>
      </c>
    </row>
    <row r="8" spans="2:6" x14ac:dyDescent="0.25">
      <c r="B8" s="62" t="s">
        <v>181</v>
      </c>
      <c r="C8" s="56">
        <v>60</v>
      </c>
      <c r="E8" s="56">
        <f>CreditExpenses[[#This Row],[Actual]]-CreditExpenses[[#This Row],[Budgeted]]</f>
        <v>-60</v>
      </c>
      <c r="F8" s="56" t="s">
        <v>162</v>
      </c>
    </row>
    <row r="9" spans="2:6" x14ac:dyDescent="0.25">
      <c r="B9" s="56" t="s">
        <v>161</v>
      </c>
      <c r="C9" s="56">
        <v>75</v>
      </c>
      <c r="E9" s="56">
        <f>CreditExpenses[[#This Row],[Actual]]-CreditExpenses[[#This Row],[Budgeted]]</f>
        <v>-75</v>
      </c>
      <c r="F9" s="56" t="s">
        <v>153</v>
      </c>
    </row>
    <row r="10" spans="2:6" x14ac:dyDescent="0.25">
      <c r="B10" s="56" t="s">
        <v>160</v>
      </c>
      <c r="C10" s="56">
        <v>244</v>
      </c>
      <c r="E10" s="56">
        <f>CreditExpenses[[#This Row],[Actual]]-CreditExpenses[[#This Row],[Budgeted]]</f>
        <v>-244</v>
      </c>
      <c r="F10" s="56" t="s">
        <v>159</v>
      </c>
    </row>
    <row r="11" spans="2:6" x14ac:dyDescent="0.25">
      <c r="B11" s="56" t="s">
        <v>158</v>
      </c>
      <c r="C11" s="56">
        <v>8</v>
      </c>
      <c r="E11" s="56">
        <f>CreditExpenses[[#This Row],[Actual]]-CreditExpenses[[#This Row],[Budgeted]]</f>
        <v>-8</v>
      </c>
    </row>
    <row r="12" spans="2:6" x14ac:dyDescent="0.25">
      <c r="B12" s="56" t="s">
        <v>157</v>
      </c>
      <c r="C12" s="56">
        <v>25</v>
      </c>
      <c r="E12" s="56">
        <f>CreditExpenses[[#This Row],[Actual]]-CreditExpenses[[#This Row],[Budgeted]]</f>
        <v>-25</v>
      </c>
      <c r="F12" s="56" t="s">
        <v>152</v>
      </c>
    </row>
    <row r="13" spans="2:6" x14ac:dyDescent="0.25">
      <c r="B13" s="62" t="s">
        <v>182</v>
      </c>
      <c r="C13" s="56">
        <v>50</v>
      </c>
      <c r="E13" s="56">
        <f>CreditExpenses[[#This Row],[Actual]]-CreditExpenses[[#This Row],[Budgeted]]</f>
        <v>-50</v>
      </c>
      <c r="F13" s="56" t="s">
        <v>156</v>
      </c>
    </row>
    <row r="14" spans="2:6" x14ac:dyDescent="0.25">
      <c r="B14" s="62" t="s">
        <v>183</v>
      </c>
      <c r="C14" s="56">
        <v>25</v>
      </c>
      <c r="E14" s="56">
        <f>CreditExpenses[[#This Row],[Actual]]-CreditExpenses[[#This Row],[Budgeted]]</f>
        <v>-25</v>
      </c>
      <c r="F14" s="56" t="s">
        <v>155</v>
      </c>
    </row>
    <row r="15" spans="2:6" x14ac:dyDescent="0.25">
      <c r="B15" s="56" t="s">
        <v>154</v>
      </c>
      <c r="C15" s="56">
        <v>8</v>
      </c>
      <c r="E15" s="56">
        <f>CreditExpenses[[#This Row],[Actual]]-CreditExpenses[[#This Row],[Budgeted]]</f>
        <v>-8</v>
      </c>
      <c r="F15" s="56" t="s">
        <v>153</v>
      </c>
    </row>
    <row r="16" spans="2:6" x14ac:dyDescent="0.25">
      <c r="B16" s="62" t="s">
        <v>184</v>
      </c>
      <c r="C16" s="56">
        <v>12</v>
      </c>
      <c r="E16" s="56">
        <f>CreditExpenses[[#This Row],[Actual]]-CreditExpenses[[#This Row],[Budgeted]]</f>
        <v>-12</v>
      </c>
      <c r="F16" s="56" t="s">
        <v>152</v>
      </c>
    </row>
    <row r="17" spans="2:6" x14ac:dyDescent="0.25">
      <c r="B17" s="62" t="s">
        <v>185</v>
      </c>
      <c r="C17" s="56">
        <v>40</v>
      </c>
      <c r="E17" s="56">
        <f>CreditExpenses[[#This Row],[Actual]]-CreditExpenses[[#This Row],[Budgeted]]</f>
        <v>-40</v>
      </c>
      <c r="F17" s="56" t="s">
        <v>151</v>
      </c>
    </row>
    <row r="18" spans="2:6" x14ac:dyDescent="0.25">
      <c r="B18" s="56" t="s">
        <v>71</v>
      </c>
      <c r="C18" s="56">
        <f>SUBTOTAL(109,CreditExpenses[Budgeted])</f>
        <v>567</v>
      </c>
      <c r="D18" s="56">
        <f>SUBTOTAL(109,CreditExpenses[Actual])</f>
        <v>0</v>
      </c>
      <c r="E18" s="56">
        <f>SUBTOTAL(109,CreditExpenses[Variance])</f>
        <v>-567</v>
      </c>
      <c r="F18" s="56">
        <f>SUBTOTAL(103,CreditExpenses[KAB NO.])</f>
        <v>10</v>
      </c>
    </row>
    <row r="20" spans="2:6" x14ac:dyDescent="0.25">
      <c r="C20" s="56">
        <f>395+177</f>
        <v>572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77F8C-63D5-4750-BBE1-D2D1808D7134}">
  <sheetPr codeName="Sheet8"/>
  <dimension ref="B2:F10"/>
  <sheetViews>
    <sheetView workbookViewId="0">
      <selection activeCell="E9" sqref="E9"/>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CR MCC</v>
      </c>
    </row>
    <row r="3" spans="2:6" ht="22.5" x14ac:dyDescent="0.3">
      <c r="B3" s="1" t="s">
        <v>1</v>
      </c>
    </row>
    <row r="4" spans="2:6" ht="22.5" x14ac:dyDescent="0.3">
      <c r="B4" s="1" t="s">
        <v>126</v>
      </c>
    </row>
    <row r="6" spans="2:6" x14ac:dyDescent="0.25">
      <c r="B6" s="36" t="s">
        <v>132</v>
      </c>
      <c r="C6" s="36" t="s">
        <v>134</v>
      </c>
      <c r="D6" s="36" t="s">
        <v>133</v>
      </c>
      <c r="E6" s="36" t="s">
        <v>135</v>
      </c>
      <c r="F6" s="36" t="s">
        <v>137</v>
      </c>
    </row>
    <row r="7" spans="2:6" x14ac:dyDescent="0.25">
      <c r="B7" s="40">
        <v>45809</v>
      </c>
      <c r="C7" s="23">
        <v>-450.11</v>
      </c>
      <c r="E7" t="s">
        <v>99</v>
      </c>
      <c r="F7" s="41" t="b">
        <v>0</v>
      </c>
    </row>
    <row r="8" spans="2:6" x14ac:dyDescent="0.25">
      <c r="B8" s="40">
        <v>45812</v>
      </c>
      <c r="C8" s="23">
        <v>42.44</v>
      </c>
      <c r="E8" t="s">
        <v>161</v>
      </c>
    </row>
    <row r="9" spans="2:6" x14ac:dyDescent="0.25">
      <c r="B9" s="40">
        <v>45812</v>
      </c>
      <c r="C9" s="23">
        <v>1.52</v>
      </c>
    </row>
    <row r="10" spans="2:6" x14ac:dyDescent="0.25">
      <c r="B10" s="40"/>
      <c r="C10" s="23"/>
    </row>
  </sheetData>
  <pageMargins left="0.75" right="0.75" top="1" bottom="1" header="0.5" footer="0.5"/>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79C82-5413-45B5-8A11-76FE6F01DD50}">
  <sheetPr codeName="Sheet9"/>
  <dimension ref="B2:F10"/>
  <sheetViews>
    <sheetView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CR VFB</v>
      </c>
    </row>
    <row r="3" spans="2:6" ht="22.5" x14ac:dyDescent="0.3">
      <c r="B3" s="1" t="s">
        <v>105</v>
      </c>
    </row>
    <row r="4" spans="2:6" ht="22.5" x14ac:dyDescent="0.3">
      <c r="B4" s="1" t="s">
        <v>126</v>
      </c>
    </row>
    <row r="6" spans="2:6" x14ac:dyDescent="0.25">
      <c r="B6" s="36" t="s">
        <v>132</v>
      </c>
      <c r="C6" s="36" t="s">
        <v>134</v>
      </c>
      <c r="D6" s="36" t="s">
        <v>133</v>
      </c>
      <c r="E6" s="36" t="s">
        <v>135</v>
      </c>
      <c r="F6" s="36" t="s">
        <v>137</v>
      </c>
    </row>
    <row r="7" spans="2:6" x14ac:dyDescent="0.25">
      <c r="B7" s="40">
        <v>45809</v>
      </c>
      <c r="C7" s="23">
        <v>579.39</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E1337-322E-4B21-81FB-94C5DC8E2EE5}">
  <sheetPr codeName="Sheet10"/>
  <dimension ref="B2:F10"/>
  <sheetViews>
    <sheetView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DP 001</v>
      </c>
    </row>
    <row r="3" spans="2:6" ht="22.5" x14ac:dyDescent="0.3">
      <c r="B3" s="1" t="s">
        <v>124</v>
      </c>
    </row>
    <row r="4" spans="2:6" ht="22.5" x14ac:dyDescent="0.3">
      <c r="B4" s="1" t="s">
        <v>125</v>
      </c>
    </row>
    <row r="6" spans="2:6" x14ac:dyDescent="0.25">
      <c r="B6" s="36" t="s">
        <v>132</v>
      </c>
      <c r="C6" s="36" t="s">
        <v>134</v>
      </c>
      <c r="D6" s="36" t="s">
        <v>133</v>
      </c>
      <c r="E6" s="36" t="s">
        <v>135</v>
      </c>
      <c r="F6" s="36" t="s">
        <v>137</v>
      </c>
    </row>
    <row r="7" spans="2:6" x14ac:dyDescent="0.25">
      <c r="B7" s="40">
        <v>45809</v>
      </c>
      <c r="C7" s="23">
        <v>500.21</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E880-F68A-4FF2-9FE1-A1ABBCEA9430}">
  <sheetPr codeName="Sheet12"/>
  <dimension ref="B2:F10"/>
  <sheetViews>
    <sheetView topLeftCell="A2"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DP 002</v>
      </c>
    </row>
    <row r="3" spans="2:6" ht="22.5" x14ac:dyDescent="0.3">
      <c r="B3" s="1" t="s">
        <v>89</v>
      </c>
    </row>
    <row r="4" spans="2:6" ht="22.5" x14ac:dyDescent="0.3">
      <c r="B4" s="1" t="s">
        <v>125</v>
      </c>
    </row>
    <row r="6" spans="2:6" x14ac:dyDescent="0.25">
      <c r="B6" s="36" t="s">
        <v>132</v>
      </c>
      <c r="C6" s="36" t="s">
        <v>134</v>
      </c>
      <c r="D6" s="36" t="s">
        <v>133</v>
      </c>
      <c r="E6" s="36" t="s">
        <v>135</v>
      </c>
      <c r="F6" s="36" t="s">
        <v>137</v>
      </c>
    </row>
    <row r="7" spans="2:6" x14ac:dyDescent="0.25">
      <c r="B7" s="40">
        <v>45809</v>
      </c>
      <c r="C7" s="23">
        <v>411.72</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B3756-40BE-4B32-B394-A3AAF391CBD6}">
  <sheetPr codeName="Sheet13"/>
  <dimension ref="B2:F10"/>
  <sheetViews>
    <sheetView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DP 003</v>
      </c>
    </row>
    <row r="3" spans="2:6" ht="22.5" x14ac:dyDescent="0.3">
      <c r="B3" s="1" t="s">
        <v>90</v>
      </c>
    </row>
    <row r="4" spans="2:6" ht="22.5" x14ac:dyDescent="0.3">
      <c r="B4" s="1" t="s">
        <v>125</v>
      </c>
    </row>
    <row r="6" spans="2:6" x14ac:dyDescent="0.25">
      <c r="B6" s="36" t="s">
        <v>132</v>
      </c>
      <c r="C6" s="36" t="s">
        <v>134</v>
      </c>
      <c r="D6" s="36" t="s">
        <v>133</v>
      </c>
      <c r="E6" s="36" t="s">
        <v>135</v>
      </c>
      <c r="F6" s="36" t="s">
        <v>137</v>
      </c>
    </row>
    <row r="7" spans="2:6" x14ac:dyDescent="0.25">
      <c r="B7" s="40">
        <v>45809</v>
      </c>
      <c r="C7" s="23">
        <v>1000</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095A7-8B8A-4EEE-9E46-3A8F0D86EF92}">
  <sheetPr codeName="Sheet11"/>
  <dimension ref="B2:F10"/>
  <sheetViews>
    <sheetView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NP SLF</v>
      </c>
    </row>
    <row r="3" spans="2:6" ht="22.5" x14ac:dyDescent="0.3">
      <c r="B3" s="1" t="s">
        <v>131</v>
      </c>
    </row>
    <row r="4" spans="2:6" ht="22.5" x14ac:dyDescent="0.3">
      <c r="B4" s="1" t="s">
        <v>130</v>
      </c>
    </row>
    <row r="6" spans="2:6" x14ac:dyDescent="0.25">
      <c r="B6" s="36" t="s">
        <v>132</v>
      </c>
      <c r="C6" s="36" t="s">
        <v>134</v>
      </c>
      <c r="D6" s="36" t="s">
        <v>133</v>
      </c>
      <c r="E6" s="36" t="s">
        <v>135</v>
      </c>
      <c r="F6" s="36" t="s">
        <v>137</v>
      </c>
    </row>
    <row r="7" spans="2:6" x14ac:dyDescent="0.25">
      <c r="B7" s="40">
        <v>45809</v>
      </c>
      <c r="C7" s="23">
        <v>3010.67</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7F40A-8649-4931-8859-C5A238421FE5}">
  <sheetPr codeName="Sheet15"/>
  <dimension ref="B2:F10"/>
  <sheetViews>
    <sheetView workbookViewId="0">
      <selection activeCell="B3" sqref="B3:N3"/>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NP EDU</v>
      </c>
    </row>
    <row r="3" spans="2:6" ht="22.5" x14ac:dyDescent="0.3">
      <c r="B3" s="1" t="s">
        <v>129</v>
      </c>
    </row>
    <row r="4" spans="2:6" ht="22.5" x14ac:dyDescent="0.3">
      <c r="B4" s="1" t="s">
        <v>130</v>
      </c>
    </row>
    <row r="6" spans="2:6" x14ac:dyDescent="0.25">
      <c r="B6" s="36" t="s">
        <v>132</v>
      </c>
      <c r="C6" s="36" t="s">
        <v>134</v>
      </c>
      <c r="D6" s="36" t="s">
        <v>133</v>
      </c>
      <c r="E6" s="36" t="s">
        <v>135</v>
      </c>
      <c r="F6" s="36" t="s">
        <v>137</v>
      </c>
    </row>
    <row r="7" spans="2:6" x14ac:dyDescent="0.25">
      <c r="B7" s="40">
        <f>DATE(2025,6,1)</f>
        <v>45809</v>
      </c>
      <c r="C7" s="23">
        <v>19560.62</v>
      </c>
      <c r="E7" t="s">
        <v>99</v>
      </c>
      <c r="F7" s="41" t="b">
        <v>0</v>
      </c>
    </row>
    <row r="8" spans="2:6" x14ac:dyDescent="0.25">
      <c r="B8" s="40"/>
      <c r="C8" s="23"/>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499D-BF49-48DD-A9D9-EAF1687C94B7}">
  <sheetPr codeName="Sheet14"/>
  <dimension ref="B2:F10"/>
  <sheetViews>
    <sheetView workbookViewId="0">
      <selection activeCell="H7" sqref="H7"/>
    </sheetView>
  </sheetViews>
  <sheetFormatPr defaultRowHeight="15" x14ac:dyDescent="0.25"/>
  <cols>
    <col min="2" max="2" width="19.5" bestFit="1" customWidth="1"/>
    <col min="3" max="3" width="11.75" bestFit="1" customWidth="1"/>
    <col min="4" max="4" width="20.25" bestFit="1" customWidth="1"/>
    <col min="5" max="5" width="20.25" customWidth="1"/>
    <col min="6" max="6" width="4.875" bestFit="1" customWidth="1"/>
  </cols>
  <sheetData>
    <row r="2" spans="2:6" ht="33" x14ac:dyDescent="0.45">
      <c r="B2" s="63" t="str" cm="1">
        <f t="array" aca="1" ref="B2" ca="1">MID(CELL("filename",A1),FIND("]",CELL("filename",A1))+1,255)</f>
        <v>TP SIT</v>
      </c>
    </row>
    <row r="3" spans="2:6" ht="22.5" x14ac:dyDescent="0.3">
      <c r="B3" s="1" t="s">
        <v>127</v>
      </c>
    </row>
    <row r="4" spans="2:6" ht="22.5" x14ac:dyDescent="0.3">
      <c r="B4" s="1" t="s">
        <v>128</v>
      </c>
    </row>
    <row r="6" spans="2:6" x14ac:dyDescent="0.25">
      <c r="B6" s="36" t="s">
        <v>132</v>
      </c>
      <c r="C6" s="36" t="s">
        <v>134</v>
      </c>
      <c r="D6" s="36" t="s">
        <v>133</v>
      </c>
      <c r="E6" s="36" t="s">
        <v>135</v>
      </c>
      <c r="F6" s="36" t="s">
        <v>137</v>
      </c>
    </row>
    <row r="7" spans="2:6" x14ac:dyDescent="0.25">
      <c r="B7" s="40">
        <v>45809</v>
      </c>
      <c r="C7" s="23">
        <v>243.72</v>
      </c>
      <c r="E7" t="s">
        <v>99</v>
      </c>
      <c r="F7" s="41" t="b">
        <v>0</v>
      </c>
    </row>
    <row r="8" spans="2:6" x14ac:dyDescent="0.25">
      <c r="B8" s="40">
        <v>45810</v>
      </c>
      <c r="C8" s="23"/>
      <c r="E8" t="s">
        <v>136</v>
      </c>
    </row>
    <row r="9" spans="2:6" x14ac:dyDescent="0.25">
      <c r="B9" s="40"/>
      <c r="C9" s="23"/>
    </row>
    <row r="10" spans="2:6" x14ac:dyDescent="0.25">
      <c r="B10" s="40"/>
      <c r="C10" s="23"/>
    </row>
  </sheetData>
  <pageMargins left="0.75" right="0.75" top="1" bottom="1" header="0.5" footer="0.5"/>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D11"/>
  <sheetViews>
    <sheetView workbookViewId="0">
      <selection activeCell="C19" sqref="C19"/>
    </sheetView>
  </sheetViews>
  <sheetFormatPr defaultRowHeight="15" x14ac:dyDescent="0.25"/>
  <cols>
    <col min="1" max="1" width="7.875"/>
    <col min="2" max="2" width="22" customWidth="1"/>
    <col min="3" max="3" width="11.5" customWidth="1"/>
    <col min="4" max="4" width="16.625" customWidth="1"/>
    <col min="5" max="5" width="19.5" customWidth="1"/>
    <col min="6" max="6" width="9" customWidth="1"/>
  </cols>
  <sheetData>
    <row r="2" spans="2:4" ht="33" x14ac:dyDescent="0.45">
      <c r="B2" s="63" t="str" cm="1">
        <f t="array" aca="1" ref="B2" ca="1">MID(CELL("filename",A1),FIND("]",CELL("filename",A1))+1,255)</f>
        <v>Dashboard</v>
      </c>
    </row>
    <row r="3" spans="2:4" ht="22.5" x14ac:dyDescent="0.3">
      <c r="B3" s="1"/>
    </row>
    <row r="4" spans="2:4" ht="22.5" x14ac:dyDescent="0.3">
      <c r="B4" s="1"/>
    </row>
    <row r="6" spans="2:4" x14ac:dyDescent="0.25">
      <c r="B6" t="s">
        <v>11</v>
      </c>
      <c r="C6" t="s">
        <v>12</v>
      </c>
      <c r="D6" t="s">
        <v>13</v>
      </c>
    </row>
    <row r="7" spans="2:4" x14ac:dyDescent="0.25">
      <c r="B7" t="s">
        <v>15</v>
      </c>
      <c r="C7">
        <f>'Category Analysis'!C7</f>
        <v>6922.5</v>
      </c>
      <c r="D7">
        <f>'Category Analysis'!D7</f>
        <v>0</v>
      </c>
    </row>
    <row r="8" spans="2:4" x14ac:dyDescent="0.25">
      <c r="B8" t="s">
        <v>16</v>
      </c>
      <c r="C8">
        <f>'Category Analysis'!C8</f>
        <v>556.82100000000003</v>
      </c>
      <c r="D8">
        <f>'Category Analysis'!D8</f>
        <v>0</v>
      </c>
    </row>
    <row r="9" spans="2:4" x14ac:dyDescent="0.25">
      <c r="B9" t="s">
        <v>17</v>
      </c>
      <c r="C9">
        <f>'Category Analysis'!C9</f>
        <v>2227.2840000000001</v>
      </c>
      <c r="D9">
        <f>'Category Analysis'!D9</f>
        <v>0</v>
      </c>
    </row>
    <row r="10" spans="2:4" x14ac:dyDescent="0.25">
      <c r="B10" t="s">
        <v>18</v>
      </c>
      <c r="C10">
        <f>'Category Analysis'!C10</f>
        <v>779.54940000000011</v>
      </c>
      <c r="D10">
        <f>'Category Analysis'!D10</f>
        <v>0</v>
      </c>
    </row>
    <row r="11" spans="2:4" x14ac:dyDescent="0.25">
      <c r="B11" t="s">
        <v>19</v>
      </c>
      <c r="C11">
        <f>'Category Analysis'!C11</f>
        <v>54.920000000000073</v>
      </c>
      <c r="D11">
        <f>'Category Analysis'!D11</f>
        <v>0</v>
      </c>
    </row>
  </sheetData>
  <pageMargins left="0.75" right="0.75" top="1" bottom="1" header="0.5" footer="0.5"/>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30D89-81A2-44FE-88D7-2E38D5F0513D}">
  <sheetPr codeName="Sheet24"/>
  <dimension ref="B2"/>
  <sheetViews>
    <sheetView workbookViewId="0">
      <selection activeCell="B3" sqref="B3:N3"/>
    </sheetView>
  </sheetViews>
  <sheetFormatPr defaultRowHeight="15" x14ac:dyDescent="0.25"/>
  <cols>
    <col min="2" max="2" width="19.5" bestFit="1" customWidth="1"/>
  </cols>
  <sheetData>
    <row r="2" spans="2:2" x14ac:dyDescent="0.25">
      <c r="B2" t="str" cm="1">
        <f t="array" aca="1" ref="B2" ca="1">MID(CELL("filename",A1),FIND("]",CELL("filename",A1))+1,255)</f>
        <v>Sheet2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BE848-4509-4B8D-88A9-5BD5B1F6C8CA}">
  <sheetPr codeName="Sheet25"/>
  <dimension ref="B2"/>
  <sheetViews>
    <sheetView workbookViewId="0">
      <selection activeCell="B3" sqref="B3:N3"/>
    </sheetView>
  </sheetViews>
  <sheetFormatPr defaultRowHeight="15" x14ac:dyDescent="0.25"/>
  <cols>
    <col min="2" max="2" width="19.5" bestFit="1" customWidth="1"/>
  </cols>
  <sheetData>
    <row r="2" spans="2:2" x14ac:dyDescent="0.25">
      <c r="B2" t="str" cm="1">
        <f t="array" aca="1" ref="B2" ca="1">MID(CELL("filename",A1),FIND("]",CELL("filename",A1))+1,255)</f>
        <v>Sheet3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88C8-7475-43A0-B10B-6BE5FB4097DA}">
  <sheetPr codeName="Sheet26"/>
  <dimension ref="A1:D56"/>
  <sheetViews>
    <sheetView tabSelected="1" workbookViewId="0">
      <selection activeCell="D12" sqref="D12"/>
    </sheetView>
  </sheetViews>
  <sheetFormatPr defaultColWidth="8" defaultRowHeight="15" x14ac:dyDescent="0.25"/>
  <cols>
    <col min="1" max="16384" width="8" style="65"/>
  </cols>
  <sheetData>
    <row r="1" spans="1:4" x14ac:dyDescent="0.25">
      <c r="A1" s="65" t="s">
        <v>186</v>
      </c>
      <c r="C1" s="65" t="s">
        <v>187</v>
      </c>
      <c r="D1" s="65" t="s">
        <v>188</v>
      </c>
    </row>
    <row r="2" spans="1:4" x14ac:dyDescent="0.25">
      <c r="A2" s="65" t="s">
        <v>189</v>
      </c>
      <c r="C2" s="65" t="s">
        <v>187</v>
      </c>
      <c r="D2" s="65" t="s">
        <v>190</v>
      </c>
    </row>
    <row r="3" spans="1:4" x14ac:dyDescent="0.25">
      <c r="A3" s="65" t="s">
        <v>191</v>
      </c>
      <c r="C3" s="65" t="s">
        <v>187</v>
      </c>
      <c r="D3" s="65" t="s">
        <v>192</v>
      </c>
    </row>
    <row r="4" spans="1:4" x14ac:dyDescent="0.25">
      <c r="A4" s="65" t="s">
        <v>193</v>
      </c>
      <c r="C4" s="65" t="s">
        <v>187</v>
      </c>
      <c r="D4" s="65" t="s">
        <v>194</v>
      </c>
    </row>
    <row r="5" spans="1:4" x14ac:dyDescent="0.25">
      <c r="A5" s="65" t="s">
        <v>195</v>
      </c>
      <c r="C5" s="65" t="s">
        <v>187</v>
      </c>
      <c r="D5" s="65" t="s">
        <v>196</v>
      </c>
    </row>
    <row r="6" spans="1:4" x14ac:dyDescent="0.25">
      <c r="A6" s="65" t="s">
        <v>197</v>
      </c>
      <c r="C6" s="65" t="s">
        <v>187</v>
      </c>
      <c r="D6" s="65" t="s">
        <v>198</v>
      </c>
    </row>
    <row r="7" spans="1:4" x14ac:dyDescent="0.25">
      <c r="A7" s="65" t="s">
        <v>199</v>
      </c>
      <c r="C7" s="65" t="s">
        <v>187</v>
      </c>
      <c r="D7" s="65" t="s">
        <v>200</v>
      </c>
    </row>
    <row r="8" spans="1:4" x14ac:dyDescent="0.25">
      <c r="A8" s="65" t="s">
        <v>201</v>
      </c>
      <c r="C8" s="65" t="s">
        <v>187</v>
      </c>
      <c r="D8" s="65" t="s">
        <v>202</v>
      </c>
    </row>
    <row r="9" spans="1:4" x14ac:dyDescent="0.25">
      <c r="A9" s="65" t="s">
        <v>203</v>
      </c>
      <c r="C9" s="65" t="s">
        <v>187</v>
      </c>
      <c r="D9" s="65" t="s">
        <v>204</v>
      </c>
    </row>
    <row r="10" spans="1:4" x14ac:dyDescent="0.25">
      <c r="A10" s="65" t="s">
        <v>205</v>
      </c>
      <c r="C10" s="65" t="s">
        <v>187</v>
      </c>
      <c r="D10" s="65" t="s">
        <v>206</v>
      </c>
    </row>
    <row r="11" spans="1:4" x14ac:dyDescent="0.25">
      <c r="A11" s="65" t="s">
        <v>207</v>
      </c>
      <c r="C11" s="65" t="s">
        <v>187</v>
      </c>
      <c r="D11" s="65" t="s">
        <v>208</v>
      </c>
    </row>
    <row r="12" spans="1:4" x14ac:dyDescent="0.25">
      <c r="A12" s="65" t="s">
        <v>209</v>
      </c>
    </row>
    <row r="13" spans="1:4" x14ac:dyDescent="0.25">
      <c r="A13" s="65" t="s">
        <v>210</v>
      </c>
    </row>
    <row r="14" spans="1:4" x14ac:dyDescent="0.25">
      <c r="A14" s="65" t="s">
        <v>211</v>
      </c>
    </row>
    <row r="15" spans="1:4" x14ac:dyDescent="0.25">
      <c r="A15" s="65" t="s">
        <v>212</v>
      </c>
    </row>
    <row r="16" spans="1:4" x14ac:dyDescent="0.25">
      <c r="A16" s="65" t="s">
        <v>213</v>
      </c>
    </row>
    <row r="17" spans="1:1" x14ac:dyDescent="0.25">
      <c r="A17" s="65" t="s">
        <v>214</v>
      </c>
    </row>
    <row r="18" spans="1:1" x14ac:dyDescent="0.25">
      <c r="A18" s="65" t="s">
        <v>215</v>
      </c>
    </row>
    <row r="19" spans="1:1" x14ac:dyDescent="0.25">
      <c r="A19" s="65" t="s">
        <v>216</v>
      </c>
    </row>
    <row r="20" spans="1:1" x14ac:dyDescent="0.25">
      <c r="A20" s="65" t="s">
        <v>217</v>
      </c>
    </row>
    <row r="21" spans="1:1" x14ac:dyDescent="0.25">
      <c r="A21" s="65" t="s">
        <v>218</v>
      </c>
    </row>
    <row r="22" spans="1:1" x14ac:dyDescent="0.25">
      <c r="A22" s="65" t="s">
        <v>219</v>
      </c>
    </row>
    <row r="23" spans="1:1" x14ac:dyDescent="0.25">
      <c r="A23" s="65" t="s">
        <v>220</v>
      </c>
    </row>
    <row r="24" spans="1:1" x14ac:dyDescent="0.25">
      <c r="A24" s="65" t="s">
        <v>221</v>
      </c>
    </row>
    <row r="25" spans="1:1" x14ac:dyDescent="0.25">
      <c r="A25" s="65" t="s">
        <v>222</v>
      </c>
    </row>
    <row r="26" spans="1:1" x14ac:dyDescent="0.25">
      <c r="A26" s="65" t="s">
        <v>223</v>
      </c>
    </row>
    <row r="27" spans="1:1" x14ac:dyDescent="0.25">
      <c r="A27" s="65" t="s">
        <v>224</v>
      </c>
    </row>
    <row r="28" spans="1:1" x14ac:dyDescent="0.25">
      <c r="A28" s="65" t="s">
        <v>225</v>
      </c>
    </row>
    <row r="29" spans="1:1" x14ac:dyDescent="0.25">
      <c r="A29" s="65" t="s">
        <v>226</v>
      </c>
    </row>
    <row r="30" spans="1:1" x14ac:dyDescent="0.25">
      <c r="A30" s="65" t="s">
        <v>227</v>
      </c>
    </row>
    <row r="31" spans="1:1" x14ac:dyDescent="0.25">
      <c r="A31" s="65" t="s">
        <v>228</v>
      </c>
    </row>
    <row r="32" spans="1:1" x14ac:dyDescent="0.25">
      <c r="A32" s="65" t="s">
        <v>229</v>
      </c>
    </row>
    <row r="33" spans="1:1" x14ac:dyDescent="0.25">
      <c r="A33" s="65" t="s">
        <v>230</v>
      </c>
    </row>
    <row r="34" spans="1:1" x14ac:dyDescent="0.25">
      <c r="A34" s="65" t="s">
        <v>231</v>
      </c>
    </row>
    <row r="35" spans="1:1" x14ac:dyDescent="0.25">
      <c r="A35" s="65" t="s">
        <v>232</v>
      </c>
    </row>
    <row r="36" spans="1:1" x14ac:dyDescent="0.25">
      <c r="A36" s="65" t="s">
        <v>233</v>
      </c>
    </row>
    <row r="37" spans="1:1" x14ac:dyDescent="0.25">
      <c r="A37" s="65" t="s">
        <v>234</v>
      </c>
    </row>
    <row r="38" spans="1:1" x14ac:dyDescent="0.25">
      <c r="A38" s="65" t="s">
        <v>235</v>
      </c>
    </row>
    <row r="39" spans="1:1" x14ac:dyDescent="0.25">
      <c r="A39" s="65" t="s">
        <v>236</v>
      </c>
    </row>
    <row r="40" spans="1:1" x14ac:dyDescent="0.25">
      <c r="A40" s="65" t="s">
        <v>237</v>
      </c>
    </row>
    <row r="41" spans="1:1" x14ac:dyDescent="0.25">
      <c r="A41" s="65" t="s">
        <v>238</v>
      </c>
    </row>
    <row r="42" spans="1:1" x14ac:dyDescent="0.25">
      <c r="A42" s="65" t="s">
        <v>239</v>
      </c>
    </row>
    <row r="43" spans="1:1" x14ac:dyDescent="0.25">
      <c r="A43" s="65" t="s">
        <v>240</v>
      </c>
    </row>
    <row r="44" spans="1:1" x14ac:dyDescent="0.25">
      <c r="A44" s="65" t="s">
        <v>241</v>
      </c>
    </row>
    <row r="45" spans="1:1" x14ac:dyDescent="0.25">
      <c r="A45" s="65" t="s">
        <v>242</v>
      </c>
    </row>
    <row r="46" spans="1:1" x14ac:dyDescent="0.25">
      <c r="A46" s="65" t="s">
        <v>243</v>
      </c>
    </row>
    <row r="47" spans="1:1" x14ac:dyDescent="0.25">
      <c r="A47" s="65" t="s">
        <v>244</v>
      </c>
    </row>
    <row r="48" spans="1:1" x14ac:dyDescent="0.25">
      <c r="A48" s="65" t="s">
        <v>245</v>
      </c>
    </row>
    <row r="49" spans="1:1" x14ac:dyDescent="0.25">
      <c r="A49" s="65" t="s">
        <v>246</v>
      </c>
    </row>
    <row r="50" spans="1:1" x14ac:dyDescent="0.25">
      <c r="A50" s="65" t="s">
        <v>247</v>
      </c>
    </row>
    <row r="51" spans="1:1" x14ac:dyDescent="0.25">
      <c r="A51" s="65" t="s">
        <v>248</v>
      </c>
    </row>
    <row r="52" spans="1:1" x14ac:dyDescent="0.25">
      <c r="A52" s="65" t="s">
        <v>249</v>
      </c>
    </row>
    <row r="53" spans="1:1" x14ac:dyDescent="0.25">
      <c r="A53" s="65" t="s">
        <v>250</v>
      </c>
    </row>
    <row r="54" spans="1:1" x14ac:dyDescent="0.25">
      <c r="A54" s="65" t="s">
        <v>251</v>
      </c>
    </row>
    <row r="55" spans="1:1" x14ac:dyDescent="0.25">
      <c r="A55" s="65" t="s">
        <v>252</v>
      </c>
    </row>
    <row r="56" spans="1:1" x14ac:dyDescent="0.25">
      <c r="A56" s="65" t="s">
        <v>253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Sheet1 (3)</vt:lpstr>
      <vt:lpstr>MASTER INDEX</vt:lpstr>
      <vt:lpstr>Category Analysis</vt:lpstr>
      <vt:lpstr>Monthly Minimums</vt:lpstr>
      <vt:lpstr>Statement of Cash Flows, FY26</vt:lpstr>
      <vt:lpstr>Statement of Cash Flows</vt:lpstr>
      <vt:lpstr>Paycheck Allocation, Actual</vt:lpstr>
      <vt:lpstr>Paycheck Allocation, Budgeted</vt:lpstr>
      <vt:lpstr>Sheet1</vt:lpstr>
      <vt:lpstr>Paycheck Allocation, pro rata</vt:lpstr>
      <vt:lpstr>Obligation Adherence</vt:lpstr>
      <vt:lpstr>AP 102</vt:lpstr>
      <vt:lpstr>AP 103</vt:lpstr>
      <vt:lpstr>Credit Card Usage</vt:lpstr>
      <vt:lpstr>CR MCC</vt:lpstr>
      <vt:lpstr>CR VFB</vt:lpstr>
      <vt:lpstr>DP 001</vt:lpstr>
      <vt:lpstr>DP 002</vt:lpstr>
      <vt:lpstr>DP 003</vt:lpstr>
      <vt:lpstr>NP SLF</vt:lpstr>
      <vt:lpstr>NP EDU</vt:lpstr>
      <vt:lpstr>TP SIT</vt:lpstr>
      <vt:lpstr>Dashboard</vt:lpstr>
      <vt:lpstr>Sheet2</vt:lpstr>
      <vt:lpstr>Sheet3</vt:lpstr>
      <vt:lpstr>Sheet1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Kyle Breneman</cp:lastModifiedBy>
  <dcterms:created xsi:type="dcterms:W3CDTF">2025-06-02T07:50:05Z</dcterms:created>
  <dcterms:modified xsi:type="dcterms:W3CDTF">2025-06-07T02:26:40Z</dcterms:modified>
</cp:coreProperties>
</file>